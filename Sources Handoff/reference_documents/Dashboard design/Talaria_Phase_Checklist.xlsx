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ross-Phase Rules" sheetId="2" state="visible" r:id="rId4"/>
    <sheet name="Phase 1 — MVP" sheetId="3" state="visible" r:id="rId5"/>
    <sheet name="Phase 2 — Analytics" sheetId="4" state="visible" r:id="rId6"/>
    <sheet name="Phase 3 — Finish" sheetId="5" state="visible" r:id="rId7"/>
    <sheet name="How to Us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<sst xmlns="http://schemas.openxmlformats.org/spreadsheetml/2006/main" count="433" uniqueCount="265">
  <si>
    <t xml:space="preserve">TALARIA  ·  DASHBOARD BUILD</t>
  </si>
  <si>
    <t xml:space="preserve">Phase Verification — Progress Dashboard</t>
  </si>
  <si>
    <t xml:space="preserve">Live roll-up of every phase. Update Status on the phase tabs; this page recalculates automatically.</t>
  </si>
  <si>
    <t xml:space="preserve">Phase</t>
  </si>
  <si>
    <t xml:space="preserve">Items</t>
  </si>
  <si>
    <t xml:space="preserve">Pass</t>
  </si>
  <si>
    <t xml:space="preserve">Fail</t>
  </si>
  <si>
    <t xml:space="preserve">In Prog.</t>
  </si>
  <si>
    <t xml:space="preserve">% Complete</t>
  </si>
  <si>
    <t xml:space="preserve">Gates Passed</t>
  </si>
  <si>
    <t xml:space="preserve">Cross-Phase Rules</t>
  </si>
  <si>
    <t xml:space="preserve">Phase 1 — MVP</t>
  </si>
  <si>
    <t xml:space="preserve">Phase 2 — Analytics</t>
  </si>
  <si>
    <t xml:space="preserve">Phase 3 — Finish</t>
  </si>
  <si>
    <t xml:space="preserve">TOTAL</t>
  </si>
  <si>
    <t xml:space="preserve">OVERALL COMPLETE</t>
  </si>
  <si>
    <t xml:space="preserve">⚠  A phase is only DONE when every GATE item on its tab shows Pass. Gates are hard blockers — do not start the next phase until all gates pass.</t>
  </si>
  <si>
    <t xml:space="preserve">STATUS LEGEND</t>
  </si>
  <si>
    <t xml:space="preserve">In Progress</t>
  </si>
  <si>
    <t xml:space="preserve">Not Started</t>
  </si>
  <si>
    <t xml:space="preserve">N/A</t>
  </si>
  <si>
    <t xml:space="preserve">Verify these in every phase — applies to Phase 1, 2 and 3</t>
  </si>
  <si>
    <t xml:space="preserve">ID</t>
  </si>
  <si>
    <t xml:space="preserve">GATE</t>
  </si>
  <si>
    <t xml:space="preserve">Checklist item</t>
  </si>
  <si>
    <t xml:space="preserve">Status</t>
  </si>
  <si>
    <t xml:space="preserve">Verified by</t>
  </si>
  <si>
    <t xml:space="preserve">Date</t>
  </si>
  <si>
    <t xml:space="preserve">Notes</t>
  </si>
  <si>
    <t xml:space="preserve">CROSS-PHASE RULES — verify in EVERY phase</t>
  </si>
  <si>
    <t xml:space="preserve">X-01</t>
  </si>
  <si>
    <t xml:space="preserve">No Basic/Advanced toggle exists anywhere — single categorized navigation only.</t>
  </si>
  <si>
    <t xml:space="preserve">X-02</t>
  </si>
  <si>
    <t xml:space="preserve">Zero console errors on any navigation path.</t>
  </si>
  <si>
    <t xml:space="preserve">X-03</t>
  </si>
  <si>
    <t xml:space="preserve">Design tokens only — no hardcoded colors. Sharp corners (radius 0). No card drop-shadows.</t>
  </si>
  <si>
    <t xml:space="preserve">X-04</t>
  </si>
  <si>
    <t xml:space="preserve">Typography uses only the scale: 8 / 10 / 14 / 16 / 24 px. Section labels 8px weight 800 uppercase.</t>
  </si>
  <si>
    <t xml:space="preserve">X-05</t>
  </si>
  <si>
    <t xml:space="preserve">Tabular-nums on every number. Numbers right-aligned, labels start-aligned.</t>
  </si>
  <si>
    <t xml:space="preserve">X-06</t>
  </si>
  <si>
    <t xml:space="preserve">View-Mode (Dollars / % / R / Pips / Ticks / Privacy) correct on every monetary display in scope.</t>
  </si>
  <si>
    <t xml:space="preserve">X-07</t>
  </si>
  <si>
    <t xml:space="preserve">RTL: layout mirrors; charts and digits do NOT mirror.</t>
  </si>
  <si>
    <t xml:space="preserve">X-08</t>
  </si>
  <si>
    <t xml:space="preserve">Filter change re-renders visible components within 200ms at 5,000 trades (worker jobs show progress).</t>
  </si>
  <si>
    <t xml:space="preserve">X-09</t>
  </si>
  <si>
    <t xml:space="preserve">Missing-field stubs degrade gracefully ('data not available'), each flagged // TODO: engine must populate.</t>
  </si>
  <si>
    <t xml:space="preserve">X-10</t>
  </si>
  <si>
    <t xml:space="preserve">Hash routes bookmarkable; restore source + filter + component state.</t>
  </si>
  <si>
    <t xml:space="preserve">X-11</t>
  </si>
  <si>
    <t xml:space="preserve">Four modes behave per spec: Standard (opt-in prop toolkit), Prop (challenge configurator + variation optimizer + simulation), Live (private/prop + discipline + Demon Catcher), Strategy (merged + reconciliation).</t>
  </si>
  <si>
    <t xml:space="preserve">X-12</t>
  </si>
  <si>
    <t xml:space="preserve">Risk-adjusted metrics (Sharpe/Sortino/Calmar/CAGR/Kelly/SQN/Recovery/Ulcer) all sourced from metrics.ts; surfaced in Quant KPI Strip / Consistency / Rolling.</t>
  </si>
  <si>
    <t xml:space="preserve">Shell · Primitives · Data layer + metrics.ts · ESSENTIALS (19) · EXCURSION (16)</t>
  </si>
  <si>
    <t xml:space="preserve">SHELL &amp; INFRASTRUCTURE</t>
  </si>
  <si>
    <t xml:space="preserve">1-01</t>
  </si>
  <si>
    <t xml:space="preserve">Top bar present: logo, source selector, session selector, filter pills, View-Mode dropdown, breadcrumb. Compare + Export buttons present but disabled.</t>
  </si>
  <si>
    <t xml:space="preserve">1-02</t>
  </si>
  <si>
    <t xml:space="preserve">Side-nav shows ALL EIGHT categories; ESSENTIALS + EXCURSION active, other six greyed with 'coming soon'.</t>
  </si>
  <si>
    <t xml:space="preserve">1-03</t>
  </si>
  <si>
    <t xml:space="preserve">Source selector switches Standard / Live / Strategy fully; Prop Firm selectable and ESSENTIALS/EXCURSION still render for it.</t>
  </si>
  <si>
    <t xml:space="preserve">1-04</t>
  </si>
  <si>
    <t xml:space="preserve">Active item styling: 3px left accent, dim-blue bg, label in accent. Breadcrumb updates.</t>
  </si>
  <si>
    <t xml:space="preserve">1-05</t>
  </si>
  <si>
    <t xml:space="preserve">Last-viewed component persists to localStorage; defaults to Talaria Score on first open.</t>
  </si>
  <si>
    <t xml:space="preserve">1-06</t>
  </si>
  <si>
    <t xml:space="preserve">Navigation is a content swap (no reload); all state persists across navigation.</t>
  </si>
  <si>
    <t xml:space="preserve">PRIMITIVES (built + tested in isolation)</t>
  </si>
  <si>
    <t xml:space="preserve">1-07</t>
  </si>
  <si>
    <t xml:space="preserve">GaugeRing, Sparkline, DotTrail, StackedRatioBar, ProgressBar, BoxPlotMini, HeatmapCell, KpiCard, ChartFrame, SubWindow.</t>
  </si>
  <si>
    <t xml:space="preserve">1-08</t>
  </si>
  <si>
    <t xml:space="preserve">SubWindow: draggable, resizable, header (title+pin+close), footer (Export PNG/CSV/JSON + Copy + Close), Escape + click-outside close, one at a time, 150ms fade+scale.</t>
  </si>
  <si>
    <t xml:space="preserve">DATA LAYER</t>
  </si>
  <si>
    <t xml:space="preserve">1-09</t>
  </si>
  <si>
    <t xml:space="preserve">Trade + Session contracts implemented exactly as specified.</t>
  </si>
  <si>
    <t xml:space="preserve">1-10</t>
  </si>
  <si>
    <t xml:space="preserve">talariaScore() deterministic and matches formula (0.30 profit + 0.30 risk + 0.20 consistency + 0.20 discipline); cached on session.</t>
  </si>
  <si>
    <t xml:space="preserve">1-10b</t>
  </si>
  <si>
    <t xml:space="preserve">metrics.ts risk-adjusted library built (Sharpe, Sortino, Calmar, CAGR, Kelly %, SQN, Recovery Factor, Ulcer Index); single source of truth, no ad-hoc recomputation.</t>
  </si>
  <si>
    <t xml:space="preserve">1-10c</t>
  </si>
  <si>
    <t xml:space="preserve">Quant KPI Strip renders all 8 risk-adjusted metrics from metrics.ts with sparklines + healthy/marginal/poor bands.</t>
  </si>
  <si>
    <t xml:space="preserve">1-11</t>
  </si>
  <si>
    <t xml:space="preserve">subScores(), dayWinRate(), drawdownStats(), and standard aggregations built + memoized.</t>
  </si>
  <si>
    <t xml:space="preserve">ESSENTIALS (17) — each renders without error</t>
  </si>
  <si>
    <t xml:space="preserve">1-12</t>
  </si>
  <si>
    <t xml:space="preserve">Talaria Score · Sub-Score Breakdown · Strategy Radar · KPI Strip · Quant KPI Strip · Equity Curve · Cumulative R Curve · Drawdown · Win/Loss Distribution.</t>
  </si>
  <si>
    <t xml:space="preserve">1-13</t>
  </si>
  <si>
    <t xml:space="preserve">Balance Waterfall · Performance Calendar · Daily P&amp;L Heatmap · Performance by Instrument/Session/Day · Instrument Bubble · Streaks &amp; Records · Consistency · Trade Journal · Best &amp; Worst Trades · Performance Highlights.</t>
  </si>
  <si>
    <t xml:space="preserve">1-14</t>
  </si>
  <si>
    <t xml:space="preserve">Equity Curve tabs work (Equity / Cum P&amp;L / Returns / Rolling 30 / vs Buy&amp;Hold / vs Random); brush zoom; annotations.</t>
  </si>
  <si>
    <t xml:space="preserve">1-15</t>
  </si>
  <si>
    <t xml:space="preserve">Trade Journal rows show mini equity sparkline + rule-adherence dot; row hover highlights equity curve.</t>
  </si>
  <si>
    <t xml:space="preserve">EXCURSION (15) — each renders without error</t>
  </si>
  <si>
    <t xml:space="preserve">1-16</t>
  </si>
  <si>
    <t xml:space="preserve">Session Stat Cards (7) · Excursion Stat Cards (7) · What-If Bars · Capture Ratio Histogram · Post-Exit MFE Curve · Post-Exit MFE by Setup.</t>
  </si>
  <si>
    <t xml:space="preserve">1-17</t>
  </si>
  <si>
    <t xml:space="preserve">MAE Distribution · MFE Distribution · During vs Total MFE Scatter · MAE vs MFE Scatter · Trade Path Cloud · Box Plots · Setup Comparison · Losers Recovery Rate · Per-Instrument Breakdown Table · Trade Duration Analysis.</t>
  </si>
  <si>
    <t xml:space="preserve">1-18</t>
  </si>
  <si>
    <t xml:space="preserve">Excursion components correctly read barCloseR[] / barHighR[] / barLowR[].</t>
  </si>
  <si>
    <t xml:space="preserve">1-19</t>
  </si>
  <si>
    <t xml:space="preserve">Gross/Net toggle and Session-Warning include/exclude filters work.</t>
  </si>
  <si>
    <t xml:space="preserve">LEARNINGS FROM LAST YEAR'S BUILD (v1)</t>
  </si>
  <si>
    <t xml:space="preserve">1-L1</t>
  </si>
  <si>
    <t xml:space="preserve">Persistent Current Balance pill in the top bar (respects Privacy mode); Live freshness indicator hook present.</t>
  </si>
  <si>
    <t xml:space="preserve">1-L2</t>
  </si>
  <si>
    <t xml:space="preserve">Equity Curve granularity selector (Daily/Weekly/Monthly/Quarterly/Yearly) + chart-type (Area/Line) + accumulation (Cumulative/Per-period) toggles.</t>
  </si>
  <si>
    <t xml:space="preserve">1-L3</t>
  </si>
  <si>
    <t xml:space="preserve">Daily P&amp;L Heatmap has a weekly-total column on the right of the grid.</t>
  </si>
  <si>
    <t xml:space="preserve">1-L4</t>
  </si>
  <si>
    <t xml:space="preserve">Talaria Score shows a tier sublabel (Developing / Proficient / Strong / Elite); no separate star rating.</t>
  </si>
  <si>
    <t xml:space="preserve">1-L5</t>
  </si>
  <si>
    <t xml:space="preserve">Trade Journal rows show inline note icon + screenshot-count badge.</t>
  </si>
  <si>
    <t xml:space="preserve">1-L6</t>
  </si>
  <si>
    <t xml:space="preserve">Performance Highlights strip on the landing view (Best Setup / Instrument / Time / Day), detection shared with Edge Finder.</t>
  </si>
  <si>
    <t xml:space="preserve">1-L7</t>
  </si>
  <si>
    <t xml:space="preserve">Trade Duration Analysis built as three linked bucket charts (P&amp;L / count / win rate) with median + average reference lines.</t>
  </si>
  <si>
    <t xml:space="preserve">PHASE 1 SIGN-OFF</t>
  </si>
  <si>
    <t xml:space="preserve">1-20</t>
  </si>
  <si>
    <t xml:space="preserve">All 34 components render on sample data; all cross-phase rules pass.</t>
  </si>
  <si>
    <t xml:space="preserve">1-21</t>
  </si>
  <si>
    <t xml:space="preserve">Six non-Phase-1 categories remain greyed (no premature content).</t>
  </si>
  <si>
    <t xml:space="preserve">Phase 2 — Analytical Depth</t>
  </si>
  <si>
    <t xml:space="preserve">What-If Simulator · Statistical · Patterns &amp; Behavior · Strategy Health (22 components)</t>
  </si>
  <si>
    <t xml:space="preserve">REGRESSION GUARD</t>
  </si>
  <si>
    <t xml:space="preserve">2-01</t>
  </si>
  <si>
    <t xml:space="preserve">Nothing from Phase 1 changed, restyled, or regressed. All 32 Phase-1 components still pass.</t>
  </si>
  <si>
    <t xml:space="preserve">WORKER INFRASTRUCTURE</t>
  </si>
  <si>
    <t xml:space="preserve">2-02</t>
  </si>
  <si>
    <t xml:space="preserve">Web Worker harness built; jobs run off the main thread; UI stays responsive.</t>
  </si>
  <si>
    <t xml:space="preserve">2-03</t>
  </si>
  <si>
    <t xml:space="preserve">Jobs present: monteCarlo, coinFlip, tpslReplay, edgeFinder, behavioralScan, sequenceReorder, variableCombos.</t>
  </si>
  <si>
    <t xml:space="preserve">2-04</t>
  </si>
  <si>
    <t xml:space="preserve">In-flight jobs cancel on filter change; awaiting components show a 'computing…' state.</t>
  </si>
  <si>
    <t xml:space="preserve">NEW COMPUTED METRICS (memoized, tested)</t>
  </si>
  <si>
    <t xml:space="preserve">2-05</t>
  </si>
  <si>
    <t xml:space="preserve">expectancyByTpSl, rollingMetric, autocorrelation, runsTest, correlationMatrix, tagCross, tagPerformance.</t>
  </si>
  <si>
    <t xml:space="preserve">2-06</t>
  </si>
  <si>
    <t xml:space="preserve">edgeFinderInsights, behavioralTags, tiltSeries, regimeStats, edgeDecay, optimalF, sequenceRisk.</t>
  </si>
  <si>
    <t xml:space="preserve">WHAT-IF SIMULATOR (5)</t>
  </si>
  <si>
    <t xml:space="preserve">2-07</t>
  </si>
  <si>
    <t xml:space="preserve">Expectancy Heatmap · Simulated vs Actual Equity · TP/SL Optimizer · Planned vs Actual Discipline · Advanced Management Stats.</t>
  </si>
  <si>
    <t xml:space="preserve">2-08</t>
  </si>
  <si>
    <t xml:space="preserve">TP/SL Optimizer + Expectancy Heatmap replay barHighR[]/barLowR[] with SL checked BEFORE TP; flipped trades flash; live stats update.</t>
  </si>
  <si>
    <t xml:space="preserve">STATISTICAL (6)</t>
  </si>
  <si>
    <t xml:space="preserve">2-09</t>
  </si>
  <si>
    <t xml:space="preserve">R-Multiple Distribution · Rolling Metrics · Monte Carlo &amp; Pass Probability · Autocorrelation · Symbol Correlation Matrix · Win/Loss Runs Test.</t>
  </si>
  <si>
    <t xml:space="preserve">2-10</t>
  </si>
  <si>
    <t xml:space="preserve">Monte Carlo + Coin Flip complete under 5s; vs-Random shows confidence score + p-value.</t>
  </si>
  <si>
    <t xml:space="preserve">2-11</t>
  </si>
  <si>
    <t xml:space="preserve">Monte Carlo Prop-Firm tab shows clean 'Prop Firm source required' placeholder when source ≠ Prop Firm.</t>
  </si>
  <si>
    <t xml:space="preserve">PATTERNS &amp; BEHAVIOR (8)</t>
  </si>
  <si>
    <t xml:space="preserve">2-12</t>
  </si>
  <si>
    <t xml:space="preserve">Tag Cross-Analysis Matrix · Variables Analysis · Variables Ranking Table · Tag Performance Tables · Trade Flow (Sankey) · Edge Finder · Behavioral Tilt Timeline · Execution &amp; Rule Adherence · Price Behavior Explorer · Market Regime Matrix.</t>
  </si>
  <si>
    <t xml:space="preserve">2-13</t>
  </si>
  <si>
    <t xml:space="preserve">Tag Cross-Analysis Matrix intersects pre × post tags, confidence-shades &lt;5-trade cells, click-to-drill works.</t>
  </si>
  <si>
    <t xml:space="preserve">2-14</t>
  </si>
  <si>
    <t xml:space="preserve">Rule Adherence compares with-rules vs without-rules using rulesFollowed/rulesViolated.</t>
  </si>
  <si>
    <t xml:space="preserve">2-15</t>
  </si>
  <si>
    <t xml:space="preserve">Edge Finder surfaces plausible patterns; Behavioral flags ≥2 patterns on a trigger session.</t>
  </si>
  <si>
    <t xml:space="preserve">STRATEGY HEALTH (3)</t>
  </si>
  <si>
    <t xml:space="preserve">2-16</t>
  </si>
  <si>
    <t xml:space="preserve">Edge Decay · Position Sizing (Optimal F) · Sequence Risk.</t>
  </si>
  <si>
    <t xml:space="preserve">2-17</t>
  </si>
  <si>
    <t xml:space="preserve">Sequence Risk reorder distribution runs in a worker; actual max-DD line shown.</t>
  </si>
  <si>
    <t xml:space="preserve">2-L1</t>
  </si>
  <si>
    <t xml:space="preserve">Variables Analysis: N-way tag-combination explorer (Single/Pairs/Triples), min-trades filter, top/bottom combos, win-rate-vs-P&amp;L bubble scatter. Worker-backed.</t>
  </si>
  <si>
    <t xml:space="preserve">2-L2</t>
  </si>
  <si>
    <t xml:space="preserve">Variables Ranking Table: flat sortable per-variable stats (Trades/Win%/Avg R/P&amp;L/PF/Max DD/Expectancy); negative-P&amp;L flagged red.</t>
  </si>
  <si>
    <t xml:space="preserve">2-L3</t>
  </si>
  <si>
    <t xml:space="preserve">SQN (System Quality Number) computed and surfaced in Rolling Metrics + as a Quant KPI option.</t>
  </si>
  <si>
    <t xml:space="preserve">2-L4</t>
  </si>
  <si>
    <t xml:space="preserve">Trade Duration (Phase 1) upgraded to / confirmed as three-linked-bucket-chart layout.</t>
  </si>
  <si>
    <t xml:space="preserve">PHASE 2 SIGN-OFF</t>
  </si>
  <si>
    <t xml:space="preserve">2-18</t>
  </si>
  <si>
    <t xml:space="preserve">Four categories un-greyed; all 24 Phase-2 components render on Standard/Live/Strategy.</t>
  </si>
  <si>
    <t xml:space="preserve">2-19</t>
  </si>
  <si>
    <t xml:space="preserve">PROP CHALLENGE, LIVE DISCIPLINE, STRATEGY SOURCE and EXPORT still greyed.</t>
  </si>
  <si>
    <t xml:space="preserve">Phase 3 — Prop Firm, Export &amp; Finish</t>
  </si>
  <si>
    <t xml:space="preserve">Prop Firm views · Export · Compare mode · Mentor links · Final polish</t>
  </si>
  <si>
    <t xml:space="preserve">3-01</t>
  </si>
  <si>
    <t xml:space="preserve">Nothing from Phases 1-2 changed or regressed. All Phase 1-2 components still pass.</t>
  </si>
  <si>
    <t xml:space="preserve">MODE / SOURCE WIRING</t>
  </si>
  <si>
    <t xml:space="preserve">3-02</t>
  </si>
  <si>
    <t xml:space="preserve">Contracts populated: propChallenge (1-step/2-step, futures/forex, per-phase rules, drawdownType static/trailing/EOD), accountType, planAdherence/hypotheticalRr/demons, disciplineScore/demonLog, mergedSources.</t>
  </si>
  <si>
    <t xml:space="preserve">3-03</t>
  </si>
  <si>
    <t xml:space="preserve">New /utils built: dailyRuleUtilization, passProbability, ruleSensitivity, dailyLimitOptimize, variationOptimize, disciplineScore, planAdherenceEquity, reconcile, sourceAttribution.</t>
  </si>
  <si>
    <t xml:space="preserve">3-04</t>
  </si>
  <si>
    <t xml:space="preserve">Dormant overlays activated: Daily P&amp;L Heatmap near-breach borders; Monte Carlo rule lines + Pass Probability gauge + preset comparison.</t>
  </si>
  <si>
    <t xml:space="preserve">PROP CHALLENGE CATEGORY (5) — prop-aware gating</t>
  </si>
  <si>
    <t xml:space="preserve">3-05</t>
  </si>
  <si>
    <t xml:space="preserve">Gating correct: shown by default in Prop mode; opt-in in Standard/Strategy (after configuring a challenge); auto-on for Live prop accounts.</t>
  </si>
  <si>
    <t xml:space="preserve">3-05b</t>
  </si>
  <si>
    <t xml:space="preserve">Challenge Configurator: asset class (futures/forex), structure (1-step/2-step/instant), firm presets, per-phase rules with drawdown type; writes propChallenge and gates the rest.</t>
  </si>
  <si>
    <t xml:space="preserve">3-06</t>
  </si>
  <si>
    <t xml:space="preserve">Rule Compliance &amp; Utilization: phase-aware; correctly tracks static vs trailing vs EOD-trailing drawdown; near-miss days flagged.</t>
  </si>
  <si>
    <t xml:space="preserve">3-07</t>
  </si>
  <si>
    <t xml:space="preserve">Pass Probability &amp; Simulation: gauge + failure-cause + preset comparison (FTMO/MyForexFunds/The5ers/FundedNext/Topstep/Apex) + combined 2-step probability; &lt; 5s.</t>
  </si>
  <si>
    <t xml:space="preserve">3-07b</t>
  </si>
  <si>
    <t xml:space="preserve">Variation Optimizer: sweeps STRATEGY variations AND CHALLENGE variations, ranks by pass probability, stars cells above threshold; worker-backed with grid caps.</t>
  </si>
  <si>
    <t xml:space="preserve">3-08</t>
  </si>
  <si>
    <t xml:space="preserve">Daily Limit Optimization: dual sliders, day-by-day re-simulation, Original vs Optimized (Improvement % / Days Saved / Risk Reduction %); lighter Standard variant works.</t>
  </si>
  <si>
    <t xml:space="preserve">3-08c</t>
  </si>
  <si>
    <t xml:space="preserve">Whole category renders on a failing-evaluation session without error.</t>
  </si>
  <si>
    <t xml:space="preserve">LIVE DISCIPLINE CATEGORY (3) — Live only</t>
  </si>
  <si>
    <t xml:space="preserve">3-LD1</t>
  </si>
  <si>
    <t xml:space="preserve">Category visible ONLY when source = Live. Untagged live trades enforced to be classified (According to plan / Out of plan / Missed trade).</t>
  </si>
  <si>
    <t xml:space="preserve">3-LD2</t>
  </si>
  <si>
    <t xml:space="preserve">Discipline Filter &amp; Score: adherence donut + Discipline Score 0-100 (missed-trade weighted by hypotheticalRr) + score trend.</t>
  </si>
  <si>
    <t xml:space="preserve">3-LD3</t>
  </si>
  <si>
    <t xml:space="preserve">Plan-Adherence Equity: Actual vs Strategy curves with deviation-cost gap in $ and R; missed/out-of-plan cost cards.</t>
  </si>
  <si>
    <t xml:space="preserve">3-LD4</t>
  </si>
  <si>
    <t xml:space="preserve">Demon Catcher renders the ARENA UI (cards sized by frequency, boss-to-slay spotlight, fade/slain state, 8-in-a-row warning, Survival→Growth→Consistency→Profitability rail) — NOT a spreadsheet.</t>
  </si>
  <si>
    <t xml:space="preserve">STRATEGY SOURCE CATEGORY (2) — Strategy only</t>
  </si>
  <si>
    <t xml:space="preserve">3-SS1</t>
  </si>
  <si>
    <t xml:space="preserve">Category visible ONLY when source = Strategy. Source Reconciliation: tag-mapping, instrument-mapping, date-range mode (union/intersection/custom), scale normalization (R/%/none), currency, conflict panel.</t>
  </si>
  <si>
    <t xml:space="preserve">3-SS2</t>
  </si>
  <si>
    <t xml:space="preserve">Cross-source views degrade gracefully (banners, hidden sub-visuals) until conflicts resolved — never show wrong numbers.</t>
  </si>
  <si>
    <t xml:space="preserve">3-SS3</t>
  </si>
  <si>
    <t xml:space="preserve">Source Attribution Breakdown: decompose aggregate by originSource + backtest-vs-live divergence + per-source KPI cards.</t>
  </si>
  <si>
    <t xml:space="preserve">EXPORT CATEGORY (2)</t>
  </si>
  <si>
    <t xml:space="preserve">3-09</t>
  </si>
  <si>
    <t xml:space="preserve">Report Builder: templates, page + card selectors, cover options, format toggle (PDF/HTML/gallery), live preview, generate. Output respects View Mode + filters.</t>
  </si>
  <si>
    <t xml:space="preserve">3-10</t>
  </si>
  <si>
    <t xml:space="preserve">Comparison View: two sessions, overlaid equity curves, delta column, diff heatmaps, common-vs-unique trades, significance p-value.</t>
  </si>
  <si>
    <t xml:space="preserve">CROSS-CUTTING</t>
  </si>
  <si>
    <t xml:space="preserve">3-11</t>
  </si>
  <si>
    <t xml:space="preserve">Compare mode: top-bar button enabled; inline comparison works from supporting components.</t>
  </si>
  <si>
    <t xml:space="preserve">3-12</t>
  </si>
  <si>
    <t xml:space="preserve">Mentor share links: encode source + session + component + filters + readonly; restore exact view (backend stubbed + flagged if needed).</t>
  </si>
  <si>
    <t xml:space="preserve">3-L1</t>
  </si>
  <si>
    <t xml:space="preserve">Live freshness indicator wired to actual Live sync state ('Updated Xs ago' / 'Live'). (v1 'auto-updating every 30s'.)</t>
  </si>
  <si>
    <t xml:space="preserve">FINAL POLISH</t>
  </si>
  <si>
    <t xml:space="preserve">3-13</t>
  </si>
  <si>
    <t xml:space="preserve">Accessibility: nav landmark, aria-labels, keyboard nav (Tab/Enter/Arrows), visible focus, screen-reader announcement of active component.</t>
  </si>
  <si>
    <t xml:space="preserve">3-14</t>
  </si>
  <si>
    <t xml:space="preserve">RTL audit across all ten categories passes.</t>
  </si>
  <si>
    <t xml:space="preserve">3-15</t>
  </si>
  <si>
    <t xml:space="preserve">Performance: 200ms filter budget at 5,000 trades; all simulations in workers with progress + cancel; 60fps on scroll/filter.</t>
  </si>
  <si>
    <t xml:space="preserve">3-16</t>
  </si>
  <si>
    <t xml:space="preserve">View-Mode audit across every component. Empty/error states verified everywhere.</t>
  </si>
  <si>
    <t xml:space="preserve">WHOLE-DASHBOARD DEFINITION OF DONE</t>
  </si>
  <si>
    <t xml:space="preserve">3-17</t>
  </si>
  <si>
    <t xml:space="preserve">All components across all ten categories render on sample sessions for every supported source.</t>
  </si>
  <si>
    <t xml:space="preserve">3-18</t>
  </si>
  <si>
    <t xml:space="preserve">Single categorized nav; PROP CHALLENGE prop-aware, LIVE DISCIPLINE Live-only, STRATEGY SOURCE Strategy-only; correct gating throughout.</t>
  </si>
  <si>
    <t xml:space="preserve">3-19</t>
  </si>
  <si>
    <t xml:space="preserve">Talaria Score deterministic · Tag Matrix intersects pre×post · TP/SL replay SL-before-TP · Monte Carlo + Pass Probability &lt; 5s.</t>
  </si>
  <si>
    <t xml:space="preserve">3-20</t>
  </si>
  <si>
    <t xml:space="preserve">Sub-windows, Compare mode, Report Builder, mentor links all functional.</t>
  </si>
  <si>
    <t xml:space="preserve">3-21</t>
  </si>
  <si>
    <t xml:space="preserve">Zero console errors · no design-system violations · all performance + a11y + RTL budgets met.</t>
  </si>
  <si>
    <t xml:space="preserve">How to use this checklist</t>
  </si>
  <si>
    <t xml:space="preserve">1.  Work through the phase tabs in order: Phase 1 → Phase 2 → Phase 3.</t>
  </si>
  <si>
    <t xml:space="preserve">2.  For each row, set the Status dropdown (column E) to Not Started / In Progress / Pass / Fail / N/A.</t>
  </si>
  <si>
    <t xml:space="preserve">      The cell colors automatically: green Pass, red Fail, gold In Progress.</t>
  </si>
  <si>
    <t xml:space="preserve">3.  Fill in 'Verified by' and 'Date' when an item is checked, and use 'Notes' for anything that needs follow-up.</t>
  </si>
  <si>
    <t xml:space="preserve">4.  Rows marked GATE (red) are hard blockers. A phase is NOT done until every GATE row on its tab is Pass.</t>
  </si>
  <si>
    <t xml:space="preserve">5.  The Cross-Phase Rules tab applies to every phase — re-verify it at the end of Phase 1, 2 and 3.</t>
  </si>
  <si>
    <t xml:space="preserve">6.  The Dashboard tab rolls everything up automatically: pass/fail counts, % complete per phase, gates passed, and overall completion.</t>
  </si>
  <si>
    <t xml:space="preserve">Recommended workflow:</t>
  </si>
  <si>
    <t xml:space="preserve">      •  Hand Codex the matching phase prompt (TALARIA_PHASE_1_MVP.md, etc.) plus the reference PDF.</t>
  </si>
  <si>
    <t xml:space="preserve">      •  As Codex reports each piece done, set its Status here and spot-check against the acceptance criteria.</t>
  </si>
  <si>
    <t xml:space="preserve">      •  When the phase tab is 100% Pass and all gates are green, move to the next phase prompt.</t>
  </si>
  <si>
    <t xml:space="preserve">Component tally:  ESSENTIALS 19 · EXCURSION 16 · WHAT-IF 5 · STATISTICAL 6 · PATTERNS 10 · STRATEGY HEALTH 3 · PROP CHALLENGE 5 · LIVE DISCIPLINE 3 · STRATEGY SOURCE 2 · EXPORT 2.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</si>
</sst>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4A6AFF"/>
      <name val="Arial"/>
      <family val="0"/>
      <charset val="1"/>
    </font>
    <font>
      <b val="true"/>
      <sz val="20"/>
      <color rgb="FFE8EEF8"/>
      <name val="Arial"/>
      <family val="0"/>
      <charset val="1"/>
    </font>
    <font>
      <sz val="10"/>
      <color rgb="FF8C99B0"/>
      <name val="Arial"/>
      <family val="0"/>
      <charset val="1"/>
    </font>
    <font>
      <b val="true"/>
      <sz val="9"/>
      <color rgb="FF07080E"/>
      <name val="Arial"/>
      <family val="0"/>
      <charset val="1"/>
    </font>
    <font>
      <b val="true"/>
      <sz val="10"/>
      <color rgb="FFE8EEF8"/>
      <name val="Arial"/>
      <family val="0"/>
      <charset val="1"/>
    </font>
    <font>
      <sz val="10"/>
      <color rgb="FFE8EEF8"/>
      <name val="Arial"/>
      <family val="0"/>
      <charset val="1"/>
    </font>
    <font>
      <b val="true"/>
      <sz val="10"/>
      <color rgb="FF00D4A1"/>
      <name val="Arial"/>
      <family val="0"/>
      <charset val="1"/>
    </font>
    <font>
      <b val="true"/>
      <sz val="10"/>
      <color rgb="FFFF5068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b val="true"/>
      <sz val="10"/>
      <color rgb="FF4A6AFF"/>
      <name val="Arial"/>
      <family val="0"/>
      <charset val="1"/>
    </font>
    <font>
      <b val="true"/>
      <sz val="10"/>
      <color rgb="FF8C99B0"/>
      <name val="Arial"/>
      <family val="0"/>
      <charset val="1"/>
    </font>
    <font>
      <b val="true"/>
      <sz val="24"/>
      <color rgb="FF00D4A1"/>
      <name val="Arial"/>
      <family val="0"/>
      <charset val="1"/>
    </font>
    <font>
      <sz val="9"/>
      <color rgb="FFC9A84C"/>
      <name val="Arial"/>
      <family val="0"/>
      <charset val="1"/>
    </font>
    <font>
      <b val="true"/>
      <sz val="9"/>
      <color rgb="FF8C99B0"/>
      <name val="Arial"/>
      <family val="0"/>
      <charset val="1"/>
    </font>
    <font>
      <b val="true"/>
      <sz val="9"/>
      <color rgb="FFE8EEF8"/>
      <name val="Arial"/>
      <family val="0"/>
      <charset val="1"/>
    </font>
    <font>
      <b val="true"/>
      <sz val="8"/>
      <color rgb="FFFF5068"/>
      <name val="Arial"/>
      <family val="0"/>
      <charset val="1"/>
    </font>
    <font>
      <b val="true"/>
      <sz val="9.5"/>
      <color rgb="FFE8EEF8"/>
      <name val="Arial"/>
      <family val="0"/>
      <charset val="1"/>
    </font>
    <font>
      <sz val="9"/>
      <color rgb="FFE8EEF8"/>
      <name val="Arial"/>
      <family val="0"/>
      <charset val="1"/>
    </font>
    <font>
      <sz val="9"/>
      <color rgb="FF8C99B0"/>
      <name val="Arial"/>
      <family val="0"/>
      <charset val="1"/>
    </font>
    <font>
      <b val="true"/>
      <sz val="8"/>
      <color rgb="FF5A6478"/>
      <name val="Arial"/>
      <family val="0"/>
      <charset val="1"/>
    </font>
    <font>
      <sz val="9.5"/>
      <color rgb="FFE8EEF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7080E"/>
        <bgColor rgb="FF000000"/>
      </patternFill>
    </fill>
    <fill>
      <patternFill patternType="solid">
        <fgColor rgb="FF4A6AFF"/>
        <bgColor rgb="FF0066CC"/>
      </patternFill>
    </fill>
    <fill>
      <patternFill patternType="solid">
        <fgColor rgb="FF0E1220"/>
        <bgColor rgb="FF12172A"/>
      </patternFill>
    </fill>
    <fill>
      <patternFill patternType="solid">
        <fgColor rgb="FF12172A"/>
        <bgColor rgb="FF0E1220"/>
      </patternFill>
    </fill>
    <fill>
      <patternFill patternType="solid">
        <fgColor rgb="FF00D4A1"/>
        <bgColor rgb="FF33CCCC"/>
      </patternFill>
    </fill>
    <fill>
      <patternFill patternType="solid">
        <fgColor rgb="FFFF5068"/>
        <bgColor rgb="FFFF6600"/>
      </patternFill>
    </fill>
    <fill>
      <patternFill patternType="solid">
        <fgColor rgb="FFC9A84C"/>
        <bgColor rgb="FFC0C0C0"/>
      </patternFill>
    </fill>
    <fill>
      <patternFill patternType="solid">
        <fgColor rgb="FF8C99B0"/>
        <bgColor rgb="FF808080"/>
      </patternFill>
    </fill>
    <fill>
      <patternFill patternType="solid">
        <fgColor rgb="FF5A6478"/>
        <bgColor rgb="FF808080"/>
      </patternFill>
    </fill>
    <fill>
      <patternFill patternType="solid">
        <fgColor rgb="FF2A1A20"/>
        <bgColor rgb="FF3A162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A2030"/>
      </left>
      <right style="thin">
        <color rgb="FF1A2030"/>
      </right>
      <top style="thin">
        <color rgb="FF1A2030"/>
      </top>
      <bottom style="thin">
        <color rgb="FF1A2030"/>
      </bottom>
      <diagonal/>
    </border>
    <border diagonalUp="false" diagonalDown="false">
      <left/>
      <right/>
      <top/>
      <bottom style="thin">
        <color rgb="FF1A203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00D4A1"/>
        <sz val="9"/>
      </font>
      <fill>
        <patternFill>
          <bgColor rgb="FF0E3A2E"/>
        </patternFill>
      </fill>
    </dxf>
    <dxf>
      <font>
        <name val="Arial"/>
        <charset val="1"/>
        <family val="0"/>
        <b val="1"/>
        <color rgb="FFFF5068"/>
        <sz val="9"/>
      </font>
      <fill>
        <patternFill>
          <bgColor rgb="FF3A1620"/>
        </patternFill>
      </fill>
    </dxf>
    <dxf>
      <font>
        <name val="Arial"/>
        <charset val="1"/>
        <family val="0"/>
        <b val="1"/>
        <color rgb="FFC9A84C"/>
        <sz val="9"/>
      </font>
      <fill>
        <patternFill>
          <bgColor rgb="FF3A3216"/>
        </patternFill>
      </fill>
    </dxf>
    <dxf>
      <font>
        <name val="Arial"/>
        <charset val="1"/>
        <family val="0"/>
        <b val="1"/>
        <color rgb="FF5A6478"/>
        <sz val="9"/>
      </font>
      <fill>
        <patternFill>
          <bgColor rgb="FF1A2030"/>
        </patternFill>
      </fill>
    </dxf>
    <dxf>
      <font>
        <name val="Arial"/>
        <charset val="1"/>
        <family val="0"/>
        <b val="1"/>
        <color rgb="FF8C99B0"/>
        <sz val="9"/>
      </font>
      <fill>
        <patternFill>
          <bgColor rgb="FF0E1220"/>
        </patternFill>
      </fill>
    </dxf>
  </dxfs>
  <colors>
    <indexedColors>
      <rgbColor rgb="FF000000"/>
      <rgbColor rgb="FFE8EE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E122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3A1620"/>
      <rgbColor rgb="FFFF5068"/>
      <rgbColor rgb="FF0066CC"/>
      <rgbColor rgb="FFCCCCFF"/>
      <rgbColor rgb="FF07080E"/>
      <rgbColor rgb="FFFF00FF"/>
      <rgbColor rgb="FFFFFF00"/>
      <rgbColor rgb="FF00FFFF"/>
      <rgbColor rgb="FF800080"/>
      <rgbColor rgb="FF800000"/>
      <rgbColor rgb="FF008080"/>
      <rgbColor rgb="FF0000FF"/>
      <rgbColor rgb="FF00D4A1"/>
      <rgbColor rgb="FFCCFFFF"/>
      <rgbColor rgb="FFCCFFCC"/>
      <rgbColor rgb="FFFFFF99"/>
      <rgbColor rgb="FF99CCFF"/>
      <rgbColor rgb="FFFF99CC"/>
      <rgbColor rgb="FFCC99FF"/>
      <rgbColor rgb="FFFFCC99"/>
      <rgbColor rgb="FF4A6AFF"/>
      <rgbColor rgb="FF33CCCC"/>
      <rgbColor rgb="FF99CC00"/>
      <rgbColor rgb="FFFFCC00"/>
      <rgbColor rgb="FFC9A84C"/>
      <rgbColor rgb="FFFF6600"/>
      <rgbColor rgb="FF5A6478"/>
      <rgbColor rgb="FF8C99B0"/>
      <rgbColor rgb="FF12172A"/>
      <rgbColor rgb="FF339966"/>
      <rgbColor rgb="FF0E3A2E"/>
      <rgbColor rgb="FF3A3216"/>
      <rgbColor rgb="FF993300"/>
      <rgbColor rgb="FF993366"/>
      <rgbColor rgb="FF2A1A20"/>
      <rgbColor rgb="FF1A2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6" min="3" style="1" width="14"/>
    <col collapsed="false" customWidth="true" hidden="false" outlineLevel="0" max="7" min="7" style="1" width="16"/>
    <col collapsed="false" customWidth="true" hidden="false" outlineLevel="0" max="8" min="8" style="1" width="3"/>
  </cols>
  <sheetData>
    <row r="1" customFormat="false" ht="1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2"/>
    </row>
    <row r="2" customFormat="false" ht="27.75" hidden="false" customHeight="true" outlineLevel="0" collapsed="false">
      <c r="A2" s="2"/>
      <c r="B2" s="4" t="s">
        <v>1</v>
      </c>
      <c r="C2" s="4"/>
      <c r="D2" s="4"/>
      <c r="E2" s="4"/>
      <c r="F2" s="4"/>
      <c r="G2" s="4"/>
      <c r="H2" s="2"/>
    </row>
    <row r="3" customFormat="false" ht="15" hidden="false" customHeight="true" outlineLevel="0" collapsed="false">
      <c r="A3" s="2"/>
      <c r="B3" s="5" t="s">
        <v>2</v>
      </c>
      <c r="C3" s="5"/>
      <c r="D3" s="5"/>
      <c r="E3" s="5"/>
      <c r="F3" s="5"/>
      <c r="G3" s="5"/>
      <c r="H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53.25" hidden="false" customHeight="true" outlineLevel="0" collapsed="false">
      <c r="A6" s="2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</row>
    <row r="7" customFormat="false" ht="21.75" hidden="false" customHeight="true" outlineLevel="0" collapsed="false">
      <c r="A7" s="2"/>
      <c r="B7" s="7" t="s">
        <v>10</v>
      </c>
      <c r="C7" s="8" t="n">
        <v>12</v>
      </c>
      <c r="D7" s="9" t="n">
        <f aca="false">COUNTIF('Cross-Phase Rules'!E7:E18,"Pass")</f>
        <v>0</v>
      </c>
      <c r="E7" s="10" t="n">
        <f aca="false">COUNTIF('Cross-Phase Rules'!E7:E18,"Fail")</f>
        <v>0</v>
      </c>
      <c r="F7" s="11" t="n">
        <f aca="false">COUNTIF('Cross-Phase Rules'!E7:E18,"In Progress")</f>
        <v>0</v>
      </c>
      <c r="G7" s="12" t="n">
        <f aca="false">IF(C7=0,0,COUNTIF('Cross-Phase Rules'!E7:E18,"Pass")/C7)</f>
        <v>0</v>
      </c>
      <c r="H7" s="11" t="str">
        <f aca="false">(--('Cross-Phase Rules'!E7="Pass")+--('Cross-Phase Rules'!E8="Pass")+--('Cross-Phase Rules'!E17="Pass"))&amp;" / 3"</f>
        <v>0 / 3</v>
      </c>
    </row>
    <row r="8" customFormat="false" ht="21.75" hidden="false" customHeight="true" outlineLevel="0" collapsed="false">
      <c r="A8" s="2"/>
      <c r="B8" s="7" t="s">
        <v>11</v>
      </c>
      <c r="C8" s="8" t="n">
        <v>30</v>
      </c>
      <c r="D8" s="9" t="n">
        <f aca="false">COUNTIF('Phase 1 — MVP'!E7:E42,"Pass")</f>
        <v>0</v>
      </c>
      <c r="E8" s="10" t="n">
        <f aca="false">COUNTIF('Phase 1 — MVP'!E7:E42,"Fail")</f>
        <v>0</v>
      </c>
      <c r="F8" s="11" t="n">
        <f aca="false">COUNTIF('Phase 1 — MVP'!E7:E42,"In Progress")</f>
        <v>0</v>
      </c>
      <c r="G8" s="12" t="n">
        <f aca="false">IF(C8=0,0,COUNTIF('Phase 1 — MVP'!E7:E42,"Pass")/C8)</f>
        <v>0</v>
      </c>
      <c r="H8" s="11" t="str">
        <f aca="false">(--('Phase 1 — MVP'!E7="Pass")+--('Phase 1 — MVP'!E8="Pass")+--('Phase 1 — MVP'!E17="Pass")+--('Phase 1 — MVP'!E18="Pass")+--('Phase 1 — MVP'!E19="Pass")+--('Phase 1 — MVP'!E30="Pass")+--('Phase 1 — MVP'!E41="Pass")+--('Phase 1 — MVP'!E42="Pass"))&amp;" / 8"</f>
        <v>0 / 8</v>
      </c>
    </row>
    <row r="9" customFormat="false" ht="21.75" hidden="false" customHeight="true" outlineLevel="0" collapsed="false">
      <c r="A9" s="2"/>
      <c r="B9" s="7" t="s">
        <v>12</v>
      </c>
      <c r="C9" s="8" t="n">
        <v>23</v>
      </c>
      <c r="D9" s="9" t="n">
        <f aca="false">COUNTIF('Phase 2 — Analytics'!E7:E37,"Pass")</f>
        <v>0</v>
      </c>
      <c r="E9" s="10" t="n">
        <f aca="false">COUNTIF('Phase 2 — Analytics'!E7:E37,"Fail")</f>
        <v>0</v>
      </c>
      <c r="F9" s="11" t="n">
        <f aca="false">COUNTIF('Phase 2 — Analytics'!E7:E37,"In Progress")</f>
        <v>0</v>
      </c>
      <c r="G9" s="12" t="n">
        <f aca="false">IF(C9=0,0,COUNTIF('Phase 2 — Analytics'!E7:E37,"Pass")/C9)</f>
        <v>0</v>
      </c>
      <c r="H9" s="11" t="str">
        <f aca="false">(--('Phase 2 — Analytics'!E7="Pass")+--('Phase 2 — Analytics'!E9="Pass")+--('Phase 2 — Analytics'!E17="Pass")+--('Phase 2 — Analytics'!E20="Pass")+--('Phase 2 — Analytics'!E24="Pass")+--('Phase 2 — Analytics'!E31="Pass")+--('Phase 2 — Analytics'!E36="Pass")+--('Phase 2 — Analytics'!E37="Pass"))&amp;" / 8"</f>
        <v>0 / 8</v>
      </c>
    </row>
    <row r="10" customFormat="false" ht="21.75" hidden="false" customHeight="true" outlineLevel="0" collapsed="false">
      <c r="A10" s="2"/>
      <c r="B10" s="7" t="s">
        <v>13</v>
      </c>
      <c r="C10" s="8" t="n">
        <v>32</v>
      </c>
      <c r="D10" s="9" t="n">
        <f aca="false">COUNTIF('Phase 3 — Finish'!E7:E46,"Pass")</f>
        <v>0</v>
      </c>
      <c r="E10" s="10" t="n">
        <f aca="false">COUNTIF('Phase 3 — Finish'!E7:E46,"Fail")</f>
        <v>0</v>
      </c>
      <c r="F10" s="11" t="n">
        <f aca="false">COUNTIF('Phase 3 — Finish'!E7:E46,"In Progress")</f>
        <v>0</v>
      </c>
      <c r="G10" s="12" t="n">
        <f aca="false">IF(C10=0,0,COUNTIF('Phase 3 — Finish'!E7:E46,"Pass")/C10)</f>
        <v>0</v>
      </c>
      <c r="H10" s="11" t="str">
        <f aca="false">(--('Phase 3 — Finish'!E7="Pass")+--('Phase 3 — Finish'!E9="Pass")+--('Phase 3 — Finish'!E13="Pass")+--('Phase 3 — Finish'!E14="Pass")+--('Phase 3 — Finish'!E16="Pass")+--('Phase 3 — Finish'!E17="Pass")+--('Phase 3 — Finish'!E18="Pass")+--('Phase 3 — Finish'!E21="Pass")+--('Phase 3 — Finish'!E22="Pass")+--('Phase 3 — Finish'!E24="Pass")+--('Phase 3 — Finish'!E26="Pass")+--('Phase 3 — Finish'!E27="Pass")+--('Phase 3 — Finish'!E37="Pass")+--('Phase 3 — Finish'!E38="Pass")+--('Phase 3 — Finish'!E39="Pass")+--('Phase 3 — Finish'!E42="Pass")+--('Phase 3 — Finish'!E43="Pass")+--('Phase 3 — Finish'!E44="Pass")+--('Phase 3 — Finish'!E45="Pass")+--('Phase 3 — Finish'!E46="Pass"))&amp;" / 20"</f>
        <v>0 / 20</v>
      </c>
    </row>
    <row r="11" customFormat="false" ht="15" hidden="false" customHeight="true" outlineLevel="0" collapsed="false">
      <c r="A11" s="2"/>
      <c r="B11" s="13" t="s">
        <v>14</v>
      </c>
      <c r="C11" s="14" t="n">
        <f aca="false">SUM(C7:C10)</f>
        <v>97</v>
      </c>
      <c r="D11" s="15" t="n">
        <f aca="false">SUM(D7:D10)</f>
        <v>0</v>
      </c>
      <c r="E11" s="16" t="n">
        <f aca="false">SUM(E7:E10)</f>
        <v>0</v>
      </c>
      <c r="F11" s="17" t="n">
        <f aca="false">SUM(F7:F10)</f>
        <v>0</v>
      </c>
      <c r="G11" s="18" t="n">
        <f aca="false">IF(C11=0,0,D11/C11)</f>
        <v>0</v>
      </c>
      <c r="H11" s="19"/>
    </row>
    <row r="12" customFormat="false" ht="15" hidden="false" customHeight="tru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5" hidden="false" customHeight="tru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28.5" hidden="false" customHeight="true" outlineLevel="0" collapsed="false">
      <c r="A14" s="2"/>
      <c r="B14" s="20" t="s">
        <v>15</v>
      </c>
      <c r="C14" s="20"/>
      <c r="D14" s="21" t="n">
        <f aca="false">G11</f>
        <v>0</v>
      </c>
      <c r="E14" s="2"/>
      <c r="F14" s="2"/>
      <c r="G14" s="2"/>
      <c r="H14" s="2"/>
    </row>
    <row r="15" customFormat="false" ht="15" hidden="false" customHeight="tru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21.75" hidden="false" customHeight="true" outlineLevel="0" collapsed="false">
      <c r="A16" s="2"/>
      <c r="B16" s="22" t="s">
        <v>16</v>
      </c>
      <c r="C16" s="22"/>
      <c r="D16" s="22"/>
      <c r="E16" s="22"/>
      <c r="F16" s="22"/>
      <c r="G16" s="22"/>
      <c r="H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23" t="s">
        <v>17</v>
      </c>
      <c r="C18" s="23"/>
      <c r="D18" s="23"/>
      <c r="E18" s="23"/>
      <c r="F18" s="23"/>
      <c r="G18" s="23"/>
      <c r="H18" s="2"/>
    </row>
    <row r="19" customFormat="false" ht="15" hidden="false" customHeight="true" outlineLevel="0" collapsed="false">
      <c r="A19" s="2"/>
      <c r="B19" s="24" t="s">
        <v>5</v>
      </c>
      <c r="C19" s="25" t="s">
        <v>6</v>
      </c>
      <c r="D19" s="26" t="s">
        <v>18</v>
      </c>
      <c r="E19" s="27" t="s">
        <v>19</v>
      </c>
      <c r="F19" s="28" t="s">
        <v>20</v>
      </c>
      <c r="G19" s="2"/>
      <c r="H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</row>
  </sheetData>
  <mergeCells count="6">
    <mergeCell ref="B1:G1"/>
    <mergeCell ref="B2:G2"/>
    <mergeCell ref="B3:G3"/>
    <mergeCell ref="B14:C14"/>
    <mergeCell ref="B16:G16"/>
    <mergeCell ref="B18:G18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7"/>
    <col collapsed="false" customWidth="true" hidden="false" outlineLevel="0" max="4" min="4" style="1" width="78"/>
    <col collapsed="false" customWidth="true" hidden="false" outlineLevel="0" max="6" min="5" style="1" width="16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3"/>
  </cols>
  <sheetData>
    <row r="1" customFormat="false" ht="15.7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2"/>
    </row>
    <row r="2" customFormat="false" ht="27.75" hidden="false" customHeight="true" outlineLevel="0" collapsed="false">
      <c r="A2" s="2"/>
      <c r="B2" s="4" t="s">
        <v>10</v>
      </c>
      <c r="C2" s="4"/>
      <c r="D2" s="4"/>
      <c r="E2" s="4"/>
      <c r="F2" s="4"/>
      <c r="G2" s="4"/>
      <c r="H2" s="4"/>
      <c r="I2" s="2"/>
    </row>
    <row r="3" customFormat="false" ht="15.75" hidden="false" customHeight="true" outlineLevel="0" collapsed="false">
      <c r="A3" s="2"/>
      <c r="B3" s="5" t="s">
        <v>21</v>
      </c>
      <c r="C3" s="5"/>
      <c r="D3" s="5"/>
      <c r="E3" s="5"/>
      <c r="F3" s="5"/>
      <c r="G3" s="5"/>
      <c r="H3" s="5"/>
      <c r="I3" s="2"/>
    </row>
    <row r="4" customFormat="false" ht="15" hidden="false" customHeight="true" outlineLevel="0" collapsed="false">
      <c r="A4" s="2"/>
      <c r="I4" s="2"/>
    </row>
    <row r="5" customFormat="false" ht="19.5" hidden="false" customHeight="true" outlineLevel="0" collapsed="false">
      <c r="A5" s="29"/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28</v>
      </c>
      <c r="I5" s="29"/>
    </row>
    <row r="6" customFormat="false" ht="19.5" hidden="false" customHeight="true" outlineLevel="0" collapsed="false">
      <c r="A6" s="2"/>
      <c r="B6" s="30" t="s">
        <v>29</v>
      </c>
      <c r="C6" s="30"/>
      <c r="D6" s="30"/>
      <c r="E6" s="30"/>
      <c r="F6" s="30"/>
      <c r="G6" s="30"/>
      <c r="H6" s="30"/>
      <c r="I6" s="2"/>
    </row>
    <row r="7" customFormat="false" ht="25.5" hidden="false" customHeight="true" outlineLevel="0" collapsed="false">
      <c r="A7" s="2"/>
      <c r="B7" s="31" t="s">
        <v>30</v>
      </c>
      <c r="C7" s="32" t="s">
        <v>23</v>
      </c>
      <c r="D7" s="33" t="s">
        <v>31</v>
      </c>
      <c r="E7" s="34" t="s">
        <v>19</v>
      </c>
      <c r="F7" s="35"/>
      <c r="G7" s="35"/>
      <c r="H7" s="36"/>
      <c r="I7" s="2"/>
    </row>
    <row r="8" customFormat="false" ht="25.5" hidden="false" customHeight="true" outlineLevel="0" collapsed="false">
      <c r="A8" s="2"/>
      <c r="B8" s="31" t="s">
        <v>32</v>
      </c>
      <c r="C8" s="32" t="s">
        <v>23</v>
      </c>
      <c r="D8" s="33" t="s">
        <v>33</v>
      </c>
      <c r="E8" s="34" t="s">
        <v>19</v>
      </c>
      <c r="F8" s="35"/>
      <c r="G8" s="35"/>
      <c r="H8" s="36"/>
      <c r="I8" s="2"/>
    </row>
    <row r="9" customFormat="false" ht="25.5" hidden="false" customHeight="true" outlineLevel="0" collapsed="false">
      <c r="A9" s="2"/>
      <c r="B9" s="31" t="s">
        <v>34</v>
      </c>
      <c r="C9" s="37"/>
      <c r="D9" s="38" t="s">
        <v>35</v>
      </c>
      <c r="E9" s="34" t="s">
        <v>19</v>
      </c>
      <c r="F9" s="35"/>
      <c r="G9" s="35"/>
      <c r="H9" s="36"/>
      <c r="I9" s="2"/>
    </row>
    <row r="10" customFormat="false" ht="25.5" hidden="false" customHeight="true" outlineLevel="0" collapsed="false">
      <c r="A10" s="2"/>
      <c r="B10" s="31" t="s">
        <v>36</v>
      </c>
      <c r="C10" s="37"/>
      <c r="D10" s="38" t="s">
        <v>37</v>
      </c>
      <c r="E10" s="34" t="s">
        <v>19</v>
      </c>
      <c r="F10" s="35"/>
      <c r="G10" s="35"/>
      <c r="H10" s="36"/>
      <c r="I10" s="2"/>
    </row>
    <row r="11" customFormat="false" ht="25.5" hidden="false" customHeight="true" outlineLevel="0" collapsed="false">
      <c r="A11" s="2"/>
      <c r="B11" s="31" t="s">
        <v>38</v>
      </c>
      <c r="C11" s="37"/>
      <c r="D11" s="38" t="s">
        <v>39</v>
      </c>
      <c r="E11" s="34" t="s">
        <v>19</v>
      </c>
      <c r="F11" s="35"/>
      <c r="G11" s="35"/>
      <c r="H11" s="36"/>
      <c r="I11" s="2"/>
    </row>
    <row r="12" customFormat="false" ht="25.5" hidden="false" customHeight="true" outlineLevel="0" collapsed="false">
      <c r="A12" s="2"/>
      <c r="B12" s="31" t="s">
        <v>40</v>
      </c>
      <c r="C12" s="37"/>
      <c r="D12" s="38" t="s">
        <v>41</v>
      </c>
      <c r="E12" s="34" t="s">
        <v>19</v>
      </c>
      <c r="F12" s="35"/>
      <c r="G12" s="35"/>
      <c r="H12" s="36"/>
      <c r="I12" s="2"/>
    </row>
    <row r="13" customFormat="false" ht="25.5" hidden="false" customHeight="true" outlineLevel="0" collapsed="false">
      <c r="A13" s="2"/>
      <c r="B13" s="31" t="s">
        <v>42</v>
      </c>
      <c r="C13" s="37"/>
      <c r="D13" s="38" t="s">
        <v>43</v>
      </c>
      <c r="E13" s="34" t="s">
        <v>19</v>
      </c>
      <c r="F13" s="35"/>
      <c r="G13" s="35"/>
      <c r="H13" s="36"/>
      <c r="I13" s="2"/>
    </row>
    <row r="14" customFormat="false" ht="25.5" hidden="false" customHeight="true" outlineLevel="0" collapsed="false">
      <c r="A14" s="2"/>
      <c r="B14" s="31" t="s">
        <v>44</v>
      </c>
      <c r="C14" s="37"/>
      <c r="D14" s="38" t="s">
        <v>45</v>
      </c>
      <c r="E14" s="34" t="s">
        <v>19</v>
      </c>
      <c r="F14" s="35"/>
      <c r="G14" s="35"/>
      <c r="H14" s="36"/>
      <c r="I14" s="2"/>
    </row>
    <row r="15" customFormat="false" ht="25.5" hidden="false" customHeight="true" outlineLevel="0" collapsed="false">
      <c r="A15" s="2"/>
      <c r="B15" s="31" t="s">
        <v>46</v>
      </c>
      <c r="C15" s="37"/>
      <c r="D15" s="38" t="s">
        <v>47</v>
      </c>
      <c r="E15" s="34" t="s">
        <v>19</v>
      </c>
      <c r="F15" s="35"/>
      <c r="G15" s="35"/>
      <c r="H15" s="36"/>
      <c r="I15" s="2"/>
    </row>
    <row r="16" customFormat="false" ht="25.5" hidden="false" customHeight="true" outlineLevel="0" collapsed="false">
      <c r="A16" s="2"/>
      <c r="B16" s="31" t="s">
        <v>48</v>
      </c>
      <c r="C16" s="37"/>
      <c r="D16" s="38" t="s">
        <v>49</v>
      </c>
      <c r="E16" s="34" t="s">
        <v>19</v>
      </c>
      <c r="F16" s="35"/>
      <c r="G16" s="35"/>
      <c r="H16" s="36"/>
      <c r="I16" s="2"/>
    </row>
    <row r="17" customFormat="false" ht="25.5" hidden="false" customHeight="true" outlineLevel="0" collapsed="false">
      <c r="A17" s="2"/>
      <c r="B17" s="31" t="s">
        <v>50</v>
      </c>
      <c r="C17" s="32" t="s">
        <v>23</v>
      </c>
      <c r="D17" s="33" t="s">
        <v>51</v>
      </c>
      <c r="E17" s="34" t="s">
        <v>19</v>
      </c>
      <c r="F17" s="35"/>
      <c r="G17" s="35"/>
      <c r="H17" s="36"/>
      <c r="I17" s="2"/>
    </row>
    <row r="18" customFormat="false" ht="25.5" hidden="false" customHeight="true" outlineLevel="0" collapsed="false">
      <c r="A18" s="2"/>
      <c r="B18" s="31" t="s">
        <v>52</v>
      </c>
      <c r="C18" s="37"/>
      <c r="D18" s="38" t="s">
        <v>53</v>
      </c>
      <c r="E18" s="34" t="s">
        <v>19</v>
      </c>
      <c r="F18" s="35"/>
      <c r="G18" s="35"/>
      <c r="H18" s="36"/>
      <c r="I18" s="2"/>
    </row>
    <row r="19" customFormat="false" ht="15" hidden="false" customHeight="true" outlineLevel="0" collapsed="false">
      <c r="A19" s="2"/>
      <c r="I19" s="2"/>
    </row>
    <row r="20" customFormat="false" ht="15" hidden="false" customHeight="true" outlineLevel="0" collapsed="false">
      <c r="A20" s="2"/>
      <c r="I20" s="2"/>
    </row>
  </sheetData>
  <mergeCells count="4">
    <mergeCell ref="B1:H1"/>
    <mergeCell ref="B2:H2"/>
    <mergeCell ref="B3:H3"/>
    <mergeCell ref="B6:H6"/>
  </mergeCells>
  <conditionalFormatting sqref="E7:E1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 Progress"</formula>
    </cfRule>
    <cfRule type="cellIs" priority="5" operator="equal" aboveAverage="0" equalAverage="0" bottom="0" percent="0" rank="0" text="" dxfId="3">
      <formula>"N/A"</formula>
    </cfRule>
    <cfRule type="cellIs" priority="6" operator="equal" aboveAverage="0" equalAverage="0" bottom="0" percent="0" rank="0" text="" dxfId="4">
      <formula>"Not Started"</formula>
    </cfRule>
  </conditionalFormatting>
  <dataValidations count="1">
    <dataValidation allowBlank="true" errorStyle="stop" operator="between" showDropDown="false" showErrorMessage="false" showInputMessage="false" sqref="E7:E18" type="list">
      <formula1>"Not Started,In Progress,Pass,Fail,N/A"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7"/>
    <col collapsed="false" customWidth="true" hidden="false" outlineLevel="0" max="4" min="4" style="1" width="78"/>
    <col collapsed="false" customWidth="true" hidden="false" outlineLevel="0" max="6" min="5" style="1" width="16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3"/>
  </cols>
  <sheetData>
    <row r="1" customFormat="false" ht="15.7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2"/>
    </row>
    <row r="2" customFormat="false" ht="27.75" hidden="false" customHeight="true" outlineLevel="0" collapsed="false">
      <c r="A2" s="2"/>
      <c r="B2" s="4" t="s">
        <v>11</v>
      </c>
      <c r="C2" s="4"/>
      <c r="D2" s="4"/>
      <c r="E2" s="4"/>
      <c r="F2" s="4"/>
      <c r="G2" s="4"/>
      <c r="H2" s="4"/>
      <c r="I2" s="2"/>
    </row>
    <row r="3" customFormat="false" ht="15.75" hidden="false" customHeight="true" outlineLevel="0" collapsed="false">
      <c r="A3" s="2"/>
      <c r="B3" s="5" t="s">
        <v>54</v>
      </c>
      <c r="C3" s="5"/>
      <c r="D3" s="5"/>
      <c r="E3" s="5"/>
      <c r="F3" s="5"/>
      <c r="G3" s="5"/>
      <c r="H3" s="5"/>
      <c r="I3" s="2"/>
    </row>
    <row r="4" customFormat="false" ht="15" hidden="false" customHeight="true" outlineLevel="0" collapsed="false">
      <c r="A4" s="2"/>
      <c r="I4" s="2"/>
    </row>
    <row r="5" customFormat="false" ht="19.5" hidden="false" customHeight="true" outlineLevel="0" collapsed="false">
      <c r="A5" s="29"/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28</v>
      </c>
      <c r="I5" s="29"/>
    </row>
    <row r="6" customFormat="false" ht="19.5" hidden="false" customHeight="true" outlineLevel="0" collapsed="false">
      <c r="A6" s="2"/>
      <c r="B6" s="30" t="s">
        <v>55</v>
      </c>
      <c r="C6" s="30"/>
      <c r="D6" s="30"/>
      <c r="E6" s="30"/>
      <c r="F6" s="30"/>
      <c r="G6" s="30"/>
      <c r="H6" s="30"/>
      <c r="I6" s="2"/>
    </row>
    <row r="7" customFormat="false" ht="25.5" hidden="false" customHeight="true" outlineLevel="0" collapsed="false">
      <c r="A7" s="2"/>
      <c r="B7" s="31" t="s">
        <v>56</v>
      </c>
      <c r="C7" s="32" t="s">
        <v>23</v>
      </c>
      <c r="D7" s="33" t="s">
        <v>57</v>
      </c>
      <c r="E7" s="34" t="s">
        <v>19</v>
      </c>
      <c r="F7" s="35"/>
      <c r="G7" s="35"/>
      <c r="H7" s="36"/>
      <c r="I7" s="2"/>
    </row>
    <row r="8" customFormat="false" ht="25.5" hidden="false" customHeight="true" outlineLevel="0" collapsed="false">
      <c r="A8" s="2"/>
      <c r="B8" s="31" t="s">
        <v>58</v>
      </c>
      <c r="C8" s="32" t="s">
        <v>23</v>
      </c>
      <c r="D8" s="33" t="s">
        <v>59</v>
      </c>
      <c r="E8" s="34" t="s">
        <v>19</v>
      </c>
      <c r="F8" s="35"/>
      <c r="G8" s="35"/>
      <c r="H8" s="36"/>
      <c r="I8" s="2"/>
    </row>
    <row r="9" customFormat="false" ht="25.5" hidden="false" customHeight="true" outlineLevel="0" collapsed="false">
      <c r="A9" s="2"/>
      <c r="B9" s="31" t="s">
        <v>60</v>
      </c>
      <c r="C9" s="37"/>
      <c r="D9" s="38" t="s">
        <v>61</v>
      </c>
      <c r="E9" s="34" t="s">
        <v>19</v>
      </c>
      <c r="F9" s="35"/>
      <c r="G9" s="35"/>
      <c r="H9" s="36"/>
      <c r="I9" s="2"/>
    </row>
    <row r="10" customFormat="false" ht="25.5" hidden="false" customHeight="true" outlineLevel="0" collapsed="false">
      <c r="A10" s="2"/>
      <c r="B10" s="31" t="s">
        <v>62</v>
      </c>
      <c r="C10" s="37"/>
      <c r="D10" s="38" t="s">
        <v>63</v>
      </c>
      <c r="E10" s="34" t="s">
        <v>19</v>
      </c>
      <c r="F10" s="35"/>
      <c r="G10" s="35"/>
      <c r="H10" s="36"/>
      <c r="I10" s="2"/>
    </row>
    <row r="11" customFormat="false" ht="25.5" hidden="false" customHeight="true" outlineLevel="0" collapsed="false">
      <c r="A11" s="2"/>
      <c r="B11" s="31" t="s">
        <v>64</v>
      </c>
      <c r="C11" s="37"/>
      <c r="D11" s="38" t="s">
        <v>65</v>
      </c>
      <c r="E11" s="34" t="s">
        <v>19</v>
      </c>
      <c r="F11" s="35"/>
      <c r="G11" s="35"/>
      <c r="H11" s="36"/>
      <c r="I11" s="2"/>
    </row>
    <row r="12" customFormat="false" ht="25.5" hidden="false" customHeight="true" outlineLevel="0" collapsed="false">
      <c r="A12" s="2"/>
      <c r="B12" s="31" t="s">
        <v>66</v>
      </c>
      <c r="C12" s="37"/>
      <c r="D12" s="38" t="s">
        <v>67</v>
      </c>
      <c r="E12" s="34" t="s">
        <v>19</v>
      </c>
      <c r="F12" s="35"/>
      <c r="G12" s="35"/>
      <c r="H12" s="36"/>
      <c r="I12" s="2"/>
    </row>
    <row r="13" customFormat="false" ht="19.5" hidden="false" customHeight="true" outlineLevel="0" collapsed="false">
      <c r="A13" s="2"/>
      <c r="B13" s="30" t="s">
        <v>68</v>
      </c>
      <c r="C13" s="30"/>
      <c r="D13" s="30"/>
      <c r="E13" s="30"/>
      <c r="F13" s="30"/>
      <c r="G13" s="30"/>
      <c r="H13" s="30"/>
      <c r="I13" s="2"/>
    </row>
    <row r="14" customFormat="false" ht="25.5" hidden="false" customHeight="true" outlineLevel="0" collapsed="false">
      <c r="A14" s="2"/>
      <c r="B14" s="31" t="s">
        <v>69</v>
      </c>
      <c r="C14" s="37"/>
      <c r="D14" s="38" t="s">
        <v>70</v>
      </c>
      <c r="E14" s="34" t="s">
        <v>19</v>
      </c>
      <c r="F14" s="35"/>
      <c r="G14" s="35"/>
      <c r="H14" s="36"/>
      <c r="I14" s="2"/>
    </row>
    <row r="15" customFormat="false" ht="25.5" hidden="false" customHeight="true" outlineLevel="0" collapsed="false">
      <c r="A15" s="2"/>
      <c r="B15" s="31" t="s">
        <v>71</v>
      </c>
      <c r="C15" s="37"/>
      <c r="D15" s="38" t="s">
        <v>72</v>
      </c>
      <c r="E15" s="34" t="s">
        <v>19</v>
      </c>
      <c r="F15" s="35"/>
      <c r="G15" s="35"/>
      <c r="H15" s="36"/>
      <c r="I15" s="2"/>
    </row>
    <row r="16" customFormat="false" ht="19.5" hidden="false" customHeight="true" outlineLevel="0" collapsed="false">
      <c r="A16" s="2"/>
      <c r="B16" s="30" t="s">
        <v>73</v>
      </c>
      <c r="C16" s="30"/>
      <c r="D16" s="30"/>
      <c r="E16" s="30"/>
      <c r="F16" s="30"/>
      <c r="G16" s="30"/>
      <c r="H16" s="30"/>
      <c r="I16" s="2"/>
    </row>
    <row r="17" customFormat="false" ht="25.5" hidden="false" customHeight="true" outlineLevel="0" collapsed="false">
      <c r="A17" s="2"/>
      <c r="B17" s="31" t="s">
        <v>74</v>
      </c>
      <c r="C17" s="32" t="s">
        <v>23</v>
      </c>
      <c r="D17" s="33" t="s">
        <v>75</v>
      </c>
      <c r="E17" s="34" t="s">
        <v>19</v>
      </c>
      <c r="F17" s="35"/>
      <c r="G17" s="35"/>
      <c r="H17" s="36"/>
      <c r="I17" s="2"/>
    </row>
    <row r="18" customFormat="false" ht="25.5" hidden="false" customHeight="true" outlineLevel="0" collapsed="false">
      <c r="A18" s="2"/>
      <c r="B18" s="31" t="s">
        <v>76</v>
      </c>
      <c r="C18" s="32" t="s">
        <v>23</v>
      </c>
      <c r="D18" s="33" t="s">
        <v>77</v>
      </c>
      <c r="E18" s="34" t="s">
        <v>19</v>
      </c>
      <c r="F18" s="35"/>
      <c r="G18" s="35"/>
      <c r="H18" s="36"/>
      <c r="I18" s="2"/>
    </row>
    <row r="19" customFormat="false" ht="25.5" hidden="false" customHeight="true" outlineLevel="0" collapsed="false">
      <c r="A19" s="2"/>
      <c r="B19" s="31" t="s">
        <v>78</v>
      </c>
      <c r="C19" s="32" t="s">
        <v>23</v>
      </c>
      <c r="D19" s="33" t="s">
        <v>79</v>
      </c>
      <c r="E19" s="34" t="s">
        <v>19</v>
      </c>
      <c r="F19" s="35"/>
      <c r="G19" s="35"/>
      <c r="H19" s="36"/>
      <c r="I19" s="2"/>
    </row>
    <row r="20" customFormat="false" ht="25.5" hidden="false" customHeight="true" outlineLevel="0" collapsed="false">
      <c r="A20" s="2"/>
      <c r="B20" s="31" t="s">
        <v>80</v>
      </c>
      <c r="C20" s="37"/>
      <c r="D20" s="38" t="s">
        <v>81</v>
      </c>
      <c r="E20" s="34" t="s">
        <v>19</v>
      </c>
      <c r="F20" s="35"/>
      <c r="G20" s="35"/>
      <c r="H20" s="36"/>
      <c r="I20" s="2"/>
    </row>
    <row r="21" customFormat="false" ht="25.5" hidden="false" customHeight="true" outlineLevel="0" collapsed="false">
      <c r="A21" s="2"/>
      <c r="B21" s="31" t="s">
        <v>82</v>
      </c>
      <c r="C21" s="37"/>
      <c r="D21" s="38" t="s">
        <v>83</v>
      </c>
      <c r="E21" s="34" t="s">
        <v>19</v>
      </c>
      <c r="F21" s="35"/>
      <c r="G21" s="35"/>
      <c r="H21" s="36"/>
      <c r="I21" s="2"/>
    </row>
    <row r="22" customFormat="false" ht="19.5" hidden="false" customHeight="true" outlineLevel="0" collapsed="false">
      <c r="A22" s="2"/>
      <c r="B22" s="30" t="s">
        <v>84</v>
      </c>
      <c r="C22" s="30"/>
      <c r="D22" s="30"/>
      <c r="E22" s="30"/>
      <c r="F22" s="30"/>
      <c r="G22" s="30"/>
      <c r="H22" s="30"/>
      <c r="I22" s="2"/>
    </row>
    <row r="23" customFormat="false" ht="25.5" hidden="false" customHeight="true" outlineLevel="0" collapsed="false">
      <c r="A23" s="2"/>
      <c r="B23" s="31" t="s">
        <v>85</v>
      </c>
      <c r="C23" s="37"/>
      <c r="D23" s="38" t="s">
        <v>86</v>
      </c>
      <c r="E23" s="34" t="s">
        <v>19</v>
      </c>
      <c r="F23" s="35"/>
      <c r="G23" s="35"/>
      <c r="H23" s="36"/>
      <c r="I23" s="2"/>
    </row>
    <row r="24" customFormat="false" ht="25.5" hidden="false" customHeight="true" outlineLevel="0" collapsed="false">
      <c r="A24" s="2"/>
      <c r="B24" s="31" t="s">
        <v>87</v>
      </c>
      <c r="C24" s="37"/>
      <c r="D24" s="38" t="s">
        <v>88</v>
      </c>
      <c r="E24" s="34" t="s">
        <v>19</v>
      </c>
      <c r="F24" s="35"/>
      <c r="G24" s="35"/>
      <c r="H24" s="36"/>
      <c r="I24" s="2"/>
    </row>
    <row r="25" customFormat="false" ht="25.5" hidden="false" customHeight="true" outlineLevel="0" collapsed="false">
      <c r="A25" s="2"/>
      <c r="B25" s="31" t="s">
        <v>89</v>
      </c>
      <c r="C25" s="37"/>
      <c r="D25" s="38" t="s">
        <v>90</v>
      </c>
      <c r="E25" s="34" t="s">
        <v>19</v>
      </c>
      <c r="F25" s="35"/>
      <c r="G25" s="35"/>
      <c r="H25" s="36"/>
      <c r="I25" s="2"/>
    </row>
    <row r="26" customFormat="false" ht="25.5" hidden="false" customHeight="true" outlineLevel="0" collapsed="false">
      <c r="A26" s="2"/>
      <c r="B26" s="31" t="s">
        <v>91</v>
      </c>
      <c r="C26" s="37"/>
      <c r="D26" s="38" t="s">
        <v>92</v>
      </c>
      <c r="E26" s="34" t="s">
        <v>19</v>
      </c>
      <c r="F26" s="35"/>
      <c r="G26" s="35"/>
      <c r="H26" s="36"/>
      <c r="I26" s="2"/>
    </row>
    <row r="27" customFormat="false" ht="19.5" hidden="false" customHeight="true" outlineLevel="0" collapsed="false">
      <c r="A27" s="2"/>
      <c r="B27" s="30" t="s">
        <v>93</v>
      </c>
      <c r="C27" s="30"/>
      <c r="D27" s="30"/>
      <c r="E27" s="30"/>
      <c r="F27" s="30"/>
      <c r="G27" s="30"/>
      <c r="H27" s="30"/>
      <c r="I27" s="2"/>
    </row>
    <row r="28" customFormat="false" ht="25.5" hidden="false" customHeight="true" outlineLevel="0" collapsed="false">
      <c r="A28" s="2"/>
      <c r="B28" s="31" t="s">
        <v>94</v>
      </c>
      <c r="C28" s="37"/>
      <c r="D28" s="38" t="s">
        <v>95</v>
      </c>
      <c r="E28" s="34" t="s">
        <v>19</v>
      </c>
      <c r="F28" s="35"/>
      <c r="G28" s="35"/>
      <c r="H28" s="36"/>
      <c r="I28" s="2"/>
    </row>
    <row r="29" customFormat="false" ht="25.5" hidden="false" customHeight="true" outlineLevel="0" collapsed="false">
      <c r="A29" s="2"/>
      <c r="B29" s="31" t="s">
        <v>96</v>
      </c>
      <c r="C29" s="37"/>
      <c r="D29" s="38" t="s">
        <v>97</v>
      </c>
      <c r="E29" s="34" t="s">
        <v>19</v>
      </c>
      <c r="F29" s="35"/>
      <c r="G29" s="35"/>
      <c r="H29" s="36"/>
      <c r="I29" s="2"/>
    </row>
    <row r="30" customFormat="false" ht="25.5" hidden="false" customHeight="true" outlineLevel="0" collapsed="false">
      <c r="A30" s="2"/>
      <c r="B30" s="31" t="s">
        <v>98</v>
      </c>
      <c r="C30" s="32" t="s">
        <v>23</v>
      </c>
      <c r="D30" s="33" t="s">
        <v>99</v>
      </c>
      <c r="E30" s="34" t="s">
        <v>19</v>
      </c>
      <c r="F30" s="35"/>
      <c r="G30" s="35"/>
      <c r="H30" s="36"/>
      <c r="I30" s="2"/>
    </row>
    <row r="31" customFormat="false" ht="25.5" hidden="false" customHeight="true" outlineLevel="0" collapsed="false">
      <c r="A31" s="2"/>
      <c r="B31" s="31" t="s">
        <v>100</v>
      </c>
      <c r="C31" s="37"/>
      <c r="D31" s="38" t="s">
        <v>101</v>
      </c>
      <c r="E31" s="34" t="s">
        <v>19</v>
      </c>
      <c r="F31" s="35"/>
      <c r="G31" s="35"/>
      <c r="H31" s="36"/>
      <c r="I31" s="2"/>
    </row>
    <row r="32" customFormat="false" ht="19.5" hidden="false" customHeight="true" outlineLevel="0" collapsed="false">
      <c r="A32" s="2"/>
      <c r="B32" s="30" t="s">
        <v>102</v>
      </c>
      <c r="C32" s="30"/>
      <c r="D32" s="30"/>
      <c r="E32" s="30"/>
      <c r="F32" s="30"/>
      <c r="G32" s="30"/>
      <c r="H32" s="30"/>
      <c r="I32" s="2"/>
    </row>
    <row r="33" customFormat="false" ht="25.5" hidden="false" customHeight="true" outlineLevel="0" collapsed="false">
      <c r="A33" s="2"/>
      <c r="B33" s="31" t="s">
        <v>103</v>
      </c>
      <c r="C33" s="37"/>
      <c r="D33" s="38" t="s">
        <v>104</v>
      </c>
      <c r="E33" s="34" t="s">
        <v>19</v>
      </c>
      <c r="F33" s="35"/>
      <c r="G33" s="35"/>
      <c r="H33" s="36"/>
      <c r="I33" s="2"/>
    </row>
    <row r="34" customFormat="false" ht="25.5" hidden="false" customHeight="true" outlineLevel="0" collapsed="false">
      <c r="A34" s="2"/>
      <c r="B34" s="31" t="s">
        <v>105</v>
      </c>
      <c r="C34" s="37"/>
      <c r="D34" s="38" t="s">
        <v>106</v>
      </c>
      <c r="E34" s="34" t="s">
        <v>19</v>
      </c>
      <c r="F34" s="35"/>
      <c r="G34" s="35"/>
      <c r="H34" s="36"/>
      <c r="I34" s="2"/>
    </row>
    <row r="35" customFormat="false" ht="25.5" hidden="false" customHeight="true" outlineLevel="0" collapsed="false">
      <c r="A35" s="2"/>
      <c r="B35" s="31" t="s">
        <v>107</v>
      </c>
      <c r="C35" s="37"/>
      <c r="D35" s="38" t="s">
        <v>108</v>
      </c>
      <c r="E35" s="34" t="s">
        <v>19</v>
      </c>
      <c r="F35" s="35"/>
      <c r="G35" s="35"/>
      <c r="H35" s="36"/>
      <c r="I35" s="2"/>
    </row>
    <row r="36" customFormat="false" ht="25.5" hidden="false" customHeight="true" outlineLevel="0" collapsed="false">
      <c r="A36" s="2"/>
      <c r="B36" s="31" t="s">
        <v>109</v>
      </c>
      <c r="C36" s="37"/>
      <c r="D36" s="38" t="s">
        <v>110</v>
      </c>
      <c r="E36" s="34" t="s">
        <v>19</v>
      </c>
      <c r="F36" s="35"/>
      <c r="G36" s="35"/>
      <c r="H36" s="36"/>
      <c r="I36" s="2"/>
    </row>
    <row r="37" customFormat="false" ht="25.5" hidden="false" customHeight="true" outlineLevel="0" collapsed="false">
      <c r="A37" s="2"/>
      <c r="B37" s="31" t="s">
        <v>111</v>
      </c>
      <c r="C37" s="37"/>
      <c r="D37" s="38" t="s">
        <v>112</v>
      </c>
      <c r="E37" s="34" t="s">
        <v>19</v>
      </c>
      <c r="F37" s="35"/>
      <c r="G37" s="35"/>
      <c r="H37" s="36"/>
      <c r="I37" s="2"/>
    </row>
    <row r="38" customFormat="false" ht="25.5" hidden="false" customHeight="true" outlineLevel="0" collapsed="false">
      <c r="A38" s="2"/>
      <c r="B38" s="31" t="s">
        <v>113</v>
      </c>
      <c r="C38" s="37"/>
      <c r="D38" s="38" t="s">
        <v>114</v>
      </c>
      <c r="E38" s="34" t="s">
        <v>19</v>
      </c>
      <c r="F38" s="35"/>
      <c r="G38" s="35"/>
      <c r="H38" s="36"/>
      <c r="I38" s="2"/>
    </row>
    <row r="39" customFormat="false" ht="25.5" hidden="false" customHeight="true" outlineLevel="0" collapsed="false">
      <c r="A39" s="2"/>
      <c r="B39" s="31" t="s">
        <v>115</v>
      </c>
      <c r="C39" s="37"/>
      <c r="D39" s="38" t="s">
        <v>116</v>
      </c>
      <c r="E39" s="34" t="s">
        <v>19</v>
      </c>
      <c r="F39" s="35"/>
      <c r="G39" s="35"/>
      <c r="H39" s="36"/>
      <c r="I39" s="2"/>
    </row>
    <row r="40" customFormat="false" ht="19.5" hidden="false" customHeight="true" outlineLevel="0" collapsed="false">
      <c r="A40" s="2"/>
      <c r="B40" s="30" t="s">
        <v>117</v>
      </c>
      <c r="C40" s="30"/>
      <c r="D40" s="30"/>
      <c r="E40" s="30"/>
      <c r="F40" s="30"/>
      <c r="G40" s="30"/>
      <c r="H40" s="30"/>
      <c r="I40" s="2"/>
    </row>
    <row r="41" customFormat="false" ht="25.5" hidden="false" customHeight="true" outlineLevel="0" collapsed="false">
      <c r="A41" s="2"/>
      <c r="B41" s="31" t="s">
        <v>118</v>
      </c>
      <c r="C41" s="32" t="s">
        <v>23</v>
      </c>
      <c r="D41" s="33" t="s">
        <v>119</v>
      </c>
      <c r="E41" s="34" t="s">
        <v>19</v>
      </c>
      <c r="F41" s="35"/>
      <c r="G41" s="35"/>
      <c r="H41" s="36"/>
      <c r="I41" s="2"/>
    </row>
    <row r="42" customFormat="false" ht="25.5" hidden="false" customHeight="true" outlineLevel="0" collapsed="false">
      <c r="A42" s="2"/>
      <c r="B42" s="31" t="s">
        <v>120</v>
      </c>
      <c r="C42" s="32" t="s">
        <v>23</v>
      </c>
      <c r="D42" s="33" t="s">
        <v>121</v>
      </c>
      <c r="E42" s="34" t="s">
        <v>19</v>
      </c>
      <c r="F42" s="35"/>
      <c r="G42" s="35"/>
      <c r="H42" s="36"/>
      <c r="I42" s="2"/>
    </row>
    <row r="43" customFormat="false" ht="15" hidden="false" customHeight="true" outlineLevel="0" collapsed="false">
      <c r="A43" s="2"/>
      <c r="I43" s="2"/>
    </row>
    <row r="44" customFormat="false" ht="15" hidden="false" customHeight="true" outlineLevel="0" collapsed="false">
      <c r="A44" s="2"/>
      <c r="I44" s="2"/>
    </row>
  </sheetData>
  <mergeCells count="10">
    <mergeCell ref="B1:H1"/>
    <mergeCell ref="B2:H2"/>
    <mergeCell ref="B3:H3"/>
    <mergeCell ref="B6:H6"/>
    <mergeCell ref="B13:H13"/>
    <mergeCell ref="B16:H16"/>
    <mergeCell ref="B22:H22"/>
    <mergeCell ref="B27:H27"/>
    <mergeCell ref="B32:H32"/>
    <mergeCell ref="B40:H40"/>
  </mergeCells>
  <conditionalFormatting sqref="E7:E4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 Progress"</formula>
    </cfRule>
    <cfRule type="cellIs" priority="5" operator="equal" aboveAverage="0" equalAverage="0" bottom="0" percent="0" rank="0" text="" dxfId="3">
      <formula>"N/A"</formula>
    </cfRule>
    <cfRule type="cellIs" priority="6" operator="equal" aboveAverage="0" equalAverage="0" bottom="0" percent="0" rank="0" text="" dxfId="4">
      <formula>"Not Started"</formula>
    </cfRule>
  </conditionalFormatting>
  <dataValidations count="1">
    <dataValidation allowBlank="true" errorStyle="stop" operator="between" showDropDown="false" showErrorMessage="false" showInputMessage="false" sqref="E7:E42" type="list">
      <formula1>"Not Started,In Progress,Pass,Fail,N/A"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7"/>
    <col collapsed="false" customWidth="true" hidden="false" outlineLevel="0" max="4" min="4" style="1" width="78"/>
    <col collapsed="false" customWidth="true" hidden="false" outlineLevel="0" max="6" min="5" style="1" width="16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3"/>
  </cols>
  <sheetData>
    <row r="1" customFormat="false" ht="15.7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2"/>
    </row>
    <row r="2" customFormat="false" ht="27.75" hidden="false" customHeight="true" outlineLevel="0" collapsed="false">
      <c r="A2" s="2"/>
      <c r="B2" s="4" t="s">
        <v>122</v>
      </c>
      <c r="C2" s="4"/>
      <c r="D2" s="4"/>
      <c r="E2" s="4"/>
      <c r="F2" s="4"/>
      <c r="G2" s="4"/>
      <c r="H2" s="4"/>
      <c r="I2" s="2"/>
    </row>
    <row r="3" customFormat="false" ht="15.75" hidden="false" customHeight="true" outlineLevel="0" collapsed="false">
      <c r="A3" s="2"/>
      <c r="B3" s="5" t="s">
        <v>123</v>
      </c>
      <c r="C3" s="5"/>
      <c r="D3" s="5"/>
      <c r="E3" s="5"/>
      <c r="F3" s="5"/>
      <c r="G3" s="5"/>
      <c r="H3" s="5"/>
      <c r="I3" s="2"/>
    </row>
    <row r="4" customFormat="false" ht="15" hidden="false" customHeight="true" outlineLevel="0" collapsed="false">
      <c r="A4" s="2"/>
      <c r="I4" s="2"/>
    </row>
    <row r="5" customFormat="false" ht="19.5" hidden="false" customHeight="true" outlineLevel="0" collapsed="false">
      <c r="A5" s="29"/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28</v>
      </c>
      <c r="I5" s="29"/>
    </row>
    <row r="6" customFormat="false" ht="19.5" hidden="false" customHeight="true" outlineLevel="0" collapsed="false">
      <c r="A6" s="2"/>
      <c r="B6" s="30" t="s">
        <v>124</v>
      </c>
      <c r="C6" s="30"/>
      <c r="D6" s="30"/>
      <c r="E6" s="30"/>
      <c r="F6" s="30"/>
      <c r="G6" s="30"/>
      <c r="H6" s="30"/>
      <c r="I6" s="2"/>
    </row>
    <row r="7" customFormat="false" ht="25.5" hidden="false" customHeight="true" outlineLevel="0" collapsed="false">
      <c r="A7" s="2"/>
      <c r="B7" s="31" t="s">
        <v>125</v>
      </c>
      <c r="C7" s="32" t="s">
        <v>23</v>
      </c>
      <c r="D7" s="33" t="s">
        <v>126</v>
      </c>
      <c r="E7" s="34" t="s">
        <v>19</v>
      </c>
      <c r="F7" s="35"/>
      <c r="G7" s="35"/>
      <c r="H7" s="36"/>
      <c r="I7" s="2"/>
    </row>
    <row r="8" customFormat="false" ht="19.5" hidden="false" customHeight="true" outlineLevel="0" collapsed="false">
      <c r="A8" s="2"/>
      <c r="B8" s="30" t="s">
        <v>127</v>
      </c>
      <c r="C8" s="30"/>
      <c r="D8" s="30"/>
      <c r="E8" s="30"/>
      <c r="F8" s="30"/>
      <c r="G8" s="30"/>
      <c r="H8" s="30"/>
      <c r="I8" s="2"/>
    </row>
    <row r="9" customFormat="false" ht="25.5" hidden="false" customHeight="true" outlineLevel="0" collapsed="false">
      <c r="A9" s="2"/>
      <c r="B9" s="31" t="s">
        <v>128</v>
      </c>
      <c r="C9" s="32" t="s">
        <v>23</v>
      </c>
      <c r="D9" s="33" t="s">
        <v>129</v>
      </c>
      <c r="E9" s="34" t="s">
        <v>19</v>
      </c>
      <c r="F9" s="35"/>
      <c r="G9" s="35"/>
      <c r="H9" s="36"/>
      <c r="I9" s="2"/>
    </row>
    <row r="10" customFormat="false" ht="25.5" hidden="false" customHeight="true" outlineLevel="0" collapsed="false">
      <c r="A10" s="2"/>
      <c r="B10" s="31" t="s">
        <v>130</v>
      </c>
      <c r="C10" s="37"/>
      <c r="D10" s="38" t="s">
        <v>131</v>
      </c>
      <c r="E10" s="34" t="s">
        <v>19</v>
      </c>
      <c r="F10" s="35"/>
      <c r="G10" s="35"/>
      <c r="H10" s="36"/>
      <c r="I10" s="2"/>
    </row>
    <row r="11" customFormat="false" ht="25.5" hidden="false" customHeight="true" outlineLevel="0" collapsed="false">
      <c r="A11" s="2"/>
      <c r="B11" s="31" t="s">
        <v>132</v>
      </c>
      <c r="C11" s="37"/>
      <c r="D11" s="38" t="s">
        <v>133</v>
      </c>
      <c r="E11" s="34" t="s">
        <v>19</v>
      </c>
      <c r="F11" s="35"/>
      <c r="G11" s="35"/>
      <c r="H11" s="36"/>
      <c r="I11" s="2"/>
    </row>
    <row r="12" customFormat="false" ht="19.5" hidden="false" customHeight="true" outlineLevel="0" collapsed="false">
      <c r="A12" s="2"/>
      <c r="B12" s="30" t="s">
        <v>134</v>
      </c>
      <c r="C12" s="30"/>
      <c r="D12" s="30"/>
      <c r="E12" s="30"/>
      <c r="F12" s="30"/>
      <c r="G12" s="30"/>
      <c r="H12" s="30"/>
      <c r="I12" s="2"/>
    </row>
    <row r="13" customFormat="false" ht="25.5" hidden="false" customHeight="true" outlineLevel="0" collapsed="false">
      <c r="A13" s="2"/>
      <c r="B13" s="31" t="s">
        <v>135</v>
      </c>
      <c r="C13" s="37"/>
      <c r="D13" s="38" t="s">
        <v>136</v>
      </c>
      <c r="E13" s="34" t="s">
        <v>19</v>
      </c>
      <c r="F13" s="35"/>
      <c r="G13" s="35"/>
      <c r="H13" s="36"/>
      <c r="I13" s="2"/>
    </row>
    <row r="14" customFormat="false" ht="25.5" hidden="false" customHeight="true" outlineLevel="0" collapsed="false">
      <c r="A14" s="2"/>
      <c r="B14" s="31" t="s">
        <v>137</v>
      </c>
      <c r="C14" s="37"/>
      <c r="D14" s="38" t="s">
        <v>138</v>
      </c>
      <c r="E14" s="34" t="s">
        <v>19</v>
      </c>
      <c r="F14" s="35"/>
      <c r="G14" s="35"/>
      <c r="H14" s="36"/>
      <c r="I14" s="2"/>
    </row>
    <row r="15" customFormat="false" ht="19.5" hidden="false" customHeight="true" outlineLevel="0" collapsed="false">
      <c r="A15" s="2"/>
      <c r="B15" s="30" t="s">
        <v>139</v>
      </c>
      <c r="C15" s="30"/>
      <c r="D15" s="30"/>
      <c r="E15" s="30"/>
      <c r="F15" s="30"/>
      <c r="G15" s="30"/>
      <c r="H15" s="30"/>
      <c r="I15" s="2"/>
    </row>
    <row r="16" customFormat="false" ht="25.5" hidden="false" customHeight="true" outlineLevel="0" collapsed="false">
      <c r="A16" s="2"/>
      <c r="B16" s="31" t="s">
        <v>140</v>
      </c>
      <c r="C16" s="37"/>
      <c r="D16" s="38" t="s">
        <v>141</v>
      </c>
      <c r="E16" s="34" t="s">
        <v>19</v>
      </c>
      <c r="F16" s="35"/>
      <c r="G16" s="35"/>
      <c r="H16" s="36"/>
      <c r="I16" s="2"/>
    </row>
    <row r="17" customFormat="false" ht="25.5" hidden="false" customHeight="true" outlineLevel="0" collapsed="false">
      <c r="A17" s="2"/>
      <c r="B17" s="31" t="s">
        <v>142</v>
      </c>
      <c r="C17" s="32" t="s">
        <v>23</v>
      </c>
      <c r="D17" s="33" t="s">
        <v>143</v>
      </c>
      <c r="E17" s="34" t="s">
        <v>19</v>
      </c>
      <c r="F17" s="35"/>
      <c r="G17" s="35"/>
      <c r="H17" s="36"/>
      <c r="I17" s="2"/>
    </row>
    <row r="18" customFormat="false" ht="19.5" hidden="false" customHeight="true" outlineLevel="0" collapsed="false">
      <c r="A18" s="2"/>
      <c r="B18" s="30" t="s">
        <v>144</v>
      </c>
      <c r="C18" s="30"/>
      <c r="D18" s="30"/>
      <c r="E18" s="30"/>
      <c r="F18" s="30"/>
      <c r="G18" s="30"/>
      <c r="H18" s="30"/>
      <c r="I18" s="2"/>
    </row>
    <row r="19" customFormat="false" ht="25.5" hidden="false" customHeight="true" outlineLevel="0" collapsed="false">
      <c r="A19" s="2"/>
      <c r="B19" s="31" t="s">
        <v>145</v>
      </c>
      <c r="C19" s="37"/>
      <c r="D19" s="38" t="s">
        <v>146</v>
      </c>
      <c r="E19" s="34" t="s">
        <v>19</v>
      </c>
      <c r="F19" s="35"/>
      <c r="G19" s="35"/>
      <c r="H19" s="36"/>
      <c r="I19" s="2"/>
    </row>
    <row r="20" customFormat="false" ht="25.5" hidden="false" customHeight="true" outlineLevel="0" collapsed="false">
      <c r="A20" s="2"/>
      <c r="B20" s="31" t="s">
        <v>147</v>
      </c>
      <c r="C20" s="32" t="s">
        <v>23</v>
      </c>
      <c r="D20" s="33" t="s">
        <v>148</v>
      </c>
      <c r="E20" s="34" t="s">
        <v>19</v>
      </c>
      <c r="F20" s="35"/>
      <c r="G20" s="35"/>
      <c r="H20" s="36"/>
      <c r="I20" s="2"/>
    </row>
    <row r="21" customFormat="false" ht="25.5" hidden="false" customHeight="true" outlineLevel="0" collapsed="false">
      <c r="A21" s="2"/>
      <c r="B21" s="31" t="s">
        <v>149</v>
      </c>
      <c r="C21" s="37"/>
      <c r="D21" s="38" t="s">
        <v>150</v>
      </c>
      <c r="E21" s="34" t="s">
        <v>19</v>
      </c>
      <c r="F21" s="35"/>
      <c r="G21" s="35"/>
      <c r="H21" s="36"/>
      <c r="I21" s="2"/>
    </row>
    <row r="22" customFormat="false" ht="19.5" hidden="false" customHeight="true" outlineLevel="0" collapsed="false">
      <c r="A22" s="2"/>
      <c r="B22" s="30" t="s">
        <v>151</v>
      </c>
      <c r="C22" s="30"/>
      <c r="D22" s="30"/>
      <c r="E22" s="30"/>
      <c r="F22" s="30"/>
      <c r="G22" s="30"/>
      <c r="H22" s="30"/>
      <c r="I22" s="2"/>
    </row>
    <row r="23" customFormat="false" ht="25.5" hidden="false" customHeight="true" outlineLevel="0" collapsed="false">
      <c r="A23" s="2"/>
      <c r="B23" s="31" t="s">
        <v>152</v>
      </c>
      <c r="C23" s="37"/>
      <c r="D23" s="38" t="s">
        <v>153</v>
      </c>
      <c r="E23" s="34" t="s">
        <v>19</v>
      </c>
      <c r="F23" s="35"/>
      <c r="G23" s="35"/>
      <c r="H23" s="36"/>
      <c r="I23" s="2"/>
    </row>
    <row r="24" customFormat="false" ht="25.5" hidden="false" customHeight="true" outlineLevel="0" collapsed="false">
      <c r="A24" s="2"/>
      <c r="B24" s="31" t="s">
        <v>154</v>
      </c>
      <c r="C24" s="32" t="s">
        <v>23</v>
      </c>
      <c r="D24" s="33" t="s">
        <v>155</v>
      </c>
      <c r="E24" s="34" t="s">
        <v>19</v>
      </c>
      <c r="F24" s="35"/>
      <c r="G24" s="35"/>
      <c r="H24" s="36"/>
      <c r="I24" s="2"/>
    </row>
    <row r="25" customFormat="false" ht="25.5" hidden="false" customHeight="true" outlineLevel="0" collapsed="false">
      <c r="A25" s="2"/>
      <c r="B25" s="31" t="s">
        <v>156</v>
      </c>
      <c r="C25" s="37"/>
      <c r="D25" s="38" t="s">
        <v>157</v>
      </c>
      <c r="E25" s="34" t="s">
        <v>19</v>
      </c>
      <c r="F25" s="35"/>
      <c r="G25" s="35"/>
      <c r="H25" s="36"/>
      <c r="I25" s="2"/>
    </row>
    <row r="26" customFormat="false" ht="25.5" hidden="false" customHeight="true" outlineLevel="0" collapsed="false">
      <c r="A26" s="2"/>
      <c r="B26" s="31" t="s">
        <v>158</v>
      </c>
      <c r="C26" s="37"/>
      <c r="D26" s="38" t="s">
        <v>159</v>
      </c>
      <c r="E26" s="34" t="s">
        <v>19</v>
      </c>
      <c r="F26" s="35"/>
      <c r="G26" s="35"/>
      <c r="H26" s="36"/>
      <c r="I26" s="2"/>
    </row>
    <row r="27" customFormat="false" ht="19.5" hidden="false" customHeight="true" outlineLevel="0" collapsed="false">
      <c r="A27" s="2"/>
      <c r="B27" s="30" t="s">
        <v>160</v>
      </c>
      <c r="C27" s="30"/>
      <c r="D27" s="30"/>
      <c r="E27" s="30"/>
      <c r="F27" s="30"/>
      <c r="G27" s="30"/>
      <c r="H27" s="30"/>
      <c r="I27" s="2"/>
    </row>
    <row r="28" customFormat="false" ht="25.5" hidden="false" customHeight="true" outlineLevel="0" collapsed="false">
      <c r="A28" s="2"/>
      <c r="B28" s="31" t="s">
        <v>161</v>
      </c>
      <c r="C28" s="37"/>
      <c r="D28" s="38" t="s">
        <v>162</v>
      </c>
      <c r="E28" s="34" t="s">
        <v>19</v>
      </c>
      <c r="F28" s="35"/>
      <c r="G28" s="35"/>
      <c r="H28" s="36"/>
      <c r="I28" s="2"/>
    </row>
    <row r="29" customFormat="false" ht="25.5" hidden="false" customHeight="true" outlineLevel="0" collapsed="false">
      <c r="A29" s="2"/>
      <c r="B29" s="31" t="s">
        <v>163</v>
      </c>
      <c r="C29" s="37"/>
      <c r="D29" s="38" t="s">
        <v>164</v>
      </c>
      <c r="E29" s="34" t="s">
        <v>19</v>
      </c>
      <c r="F29" s="35"/>
      <c r="G29" s="35"/>
      <c r="H29" s="36"/>
      <c r="I29" s="2"/>
    </row>
    <row r="30" customFormat="false" ht="19.5" hidden="false" customHeight="true" outlineLevel="0" collapsed="false">
      <c r="A30" s="2"/>
      <c r="B30" s="30" t="s">
        <v>102</v>
      </c>
      <c r="C30" s="30"/>
      <c r="D30" s="30"/>
      <c r="E30" s="30"/>
      <c r="F30" s="30"/>
      <c r="G30" s="30"/>
      <c r="H30" s="30"/>
      <c r="I30" s="2"/>
    </row>
    <row r="31" customFormat="false" ht="25.5" hidden="false" customHeight="true" outlineLevel="0" collapsed="false">
      <c r="A31" s="2"/>
      <c r="B31" s="31" t="s">
        <v>165</v>
      </c>
      <c r="C31" s="32" t="s">
        <v>23</v>
      </c>
      <c r="D31" s="33" t="s">
        <v>166</v>
      </c>
      <c r="E31" s="34" t="s">
        <v>19</v>
      </c>
      <c r="F31" s="35"/>
      <c r="G31" s="35"/>
      <c r="H31" s="36"/>
      <c r="I31" s="2"/>
    </row>
    <row r="32" customFormat="false" ht="25.5" hidden="false" customHeight="true" outlineLevel="0" collapsed="false">
      <c r="A32" s="2"/>
      <c r="B32" s="31" t="s">
        <v>167</v>
      </c>
      <c r="C32" s="37"/>
      <c r="D32" s="38" t="s">
        <v>168</v>
      </c>
      <c r="E32" s="34" t="s">
        <v>19</v>
      </c>
      <c r="F32" s="35"/>
      <c r="G32" s="35"/>
      <c r="H32" s="36"/>
      <c r="I32" s="2"/>
    </row>
    <row r="33" customFormat="false" ht="25.5" hidden="false" customHeight="true" outlineLevel="0" collapsed="false">
      <c r="A33" s="2"/>
      <c r="B33" s="31" t="s">
        <v>169</v>
      </c>
      <c r="C33" s="37"/>
      <c r="D33" s="38" t="s">
        <v>170</v>
      </c>
      <c r="E33" s="34" t="s">
        <v>19</v>
      </c>
      <c r="F33" s="35"/>
      <c r="G33" s="35"/>
      <c r="H33" s="36"/>
      <c r="I33" s="2"/>
    </row>
    <row r="34" customFormat="false" ht="25.5" hidden="false" customHeight="true" outlineLevel="0" collapsed="false">
      <c r="A34" s="2"/>
      <c r="B34" s="31" t="s">
        <v>171</v>
      </c>
      <c r="C34" s="37"/>
      <c r="D34" s="38" t="s">
        <v>172</v>
      </c>
      <c r="E34" s="34" t="s">
        <v>19</v>
      </c>
      <c r="F34" s="35"/>
      <c r="G34" s="35"/>
      <c r="H34" s="36"/>
      <c r="I34" s="2"/>
    </row>
    <row r="35" customFormat="false" ht="19.5" hidden="false" customHeight="true" outlineLevel="0" collapsed="false">
      <c r="A35" s="2"/>
      <c r="B35" s="30" t="s">
        <v>173</v>
      </c>
      <c r="C35" s="30"/>
      <c r="D35" s="30"/>
      <c r="E35" s="30"/>
      <c r="F35" s="30"/>
      <c r="G35" s="30"/>
      <c r="H35" s="30"/>
      <c r="I35" s="2"/>
    </row>
    <row r="36" customFormat="false" ht="25.5" hidden="false" customHeight="true" outlineLevel="0" collapsed="false">
      <c r="A36" s="2"/>
      <c r="B36" s="31" t="s">
        <v>174</v>
      </c>
      <c r="C36" s="32" t="s">
        <v>23</v>
      </c>
      <c r="D36" s="33" t="s">
        <v>175</v>
      </c>
      <c r="E36" s="34" t="s">
        <v>19</v>
      </c>
      <c r="F36" s="35"/>
      <c r="G36" s="35"/>
      <c r="H36" s="36"/>
      <c r="I36" s="2"/>
    </row>
    <row r="37" customFormat="false" ht="25.5" hidden="false" customHeight="true" outlineLevel="0" collapsed="false">
      <c r="A37" s="2"/>
      <c r="B37" s="31" t="s">
        <v>176</v>
      </c>
      <c r="C37" s="32" t="s">
        <v>23</v>
      </c>
      <c r="D37" s="33" t="s">
        <v>177</v>
      </c>
      <c r="E37" s="34" t="s">
        <v>19</v>
      </c>
      <c r="F37" s="35"/>
      <c r="G37" s="35"/>
      <c r="H37" s="36"/>
      <c r="I37" s="2"/>
    </row>
    <row r="38" customFormat="false" ht="15" hidden="false" customHeight="true" outlineLevel="0" collapsed="false">
      <c r="A38" s="2"/>
      <c r="I38" s="2"/>
    </row>
    <row r="39" customFormat="false" ht="15" hidden="false" customHeight="true" outlineLevel="0" collapsed="false">
      <c r="A39" s="2"/>
      <c r="I39" s="2"/>
    </row>
  </sheetData>
  <mergeCells count="12">
    <mergeCell ref="B1:H1"/>
    <mergeCell ref="B2:H2"/>
    <mergeCell ref="B3:H3"/>
    <mergeCell ref="B6:H6"/>
    <mergeCell ref="B8:H8"/>
    <mergeCell ref="B12:H12"/>
    <mergeCell ref="B15:H15"/>
    <mergeCell ref="B18:H18"/>
    <mergeCell ref="B22:H22"/>
    <mergeCell ref="B27:H27"/>
    <mergeCell ref="B30:H30"/>
    <mergeCell ref="B35:H35"/>
  </mergeCells>
  <conditionalFormatting sqref="E7:E3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 Progress"</formula>
    </cfRule>
    <cfRule type="cellIs" priority="5" operator="equal" aboveAverage="0" equalAverage="0" bottom="0" percent="0" rank="0" text="" dxfId="3">
      <formula>"N/A"</formula>
    </cfRule>
    <cfRule type="cellIs" priority="6" operator="equal" aboveAverage="0" equalAverage="0" bottom="0" percent="0" rank="0" text="" dxfId="4">
      <formula>"Not Started"</formula>
    </cfRule>
  </conditionalFormatting>
  <dataValidations count="1">
    <dataValidation allowBlank="true" errorStyle="stop" operator="between" showDropDown="false" showErrorMessage="false" showInputMessage="false" sqref="E7:E37" type="list">
      <formula1>"Not Started,In Progress,Pass,Fail,N/A"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7"/>
    <col collapsed="false" customWidth="true" hidden="false" outlineLevel="0" max="4" min="4" style="1" width="78"/>
    <col collapsed="false" customWidth="true" hidden="false" outlineLevel="0" max="6" min="5" style="1" width="16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3"/>
  </cols>
  <sheetData>
    <row r="1" customFormat="false" ht="15.7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2"/>
    </row>
    <row r="2" customFormat="false" ht="27.75" hidden="false" customHeight="true" outlineLevel="0" collapsed="false">
      <c r="A2" s="2"/>
      <c r="B2" s="4" t="s">
        <v>178</v>
      </c>
      <c r="C2" s="4"/>
      <c r="D2" s="4"/>
      <c r="E2" s="4"/>
      <c r="F2" s="4"/>
      <c r="G2" s="4"/>
      <c r="H2" s="4"/>
      <c r="I2" s="2"/>
    </row>
    <row r="3" customFormat="false" ht="15.75" hidden="false" customHeight="true" outlineLevel="0" collapsed="false">
      <c r="A3" s="2"/>
      <c r="B3" s="5" t="s">
        <v>179</v>
      </c>
      <c r="C3" s="5"/>
      <c r="D3" s="5"/>
      <c r="E3" s="5"/>
      <c r="F3" s="5"/>
      <c r="G3" s="5"/>
      <c r="H3" s="5"/>
      <c r="I3" s="2"/>
    </row>
    <row r="4" customFormat="false" ht="15" hidden="false" customHeight="true" outlineLevel="0" collapsed="false">
      <c r="A4" s="2"/>
      <c r="I4" s="2"/>
    </row>
    <row r="5" customFormat="false" ht="19.5" hidden="false" customHeight="true" outlineLevel="0" collapsed="false">
      <c r="A5" s="29"/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28</v>
      </c>
      <c r="I5" s="29"/>
    </row>
    <row r="6" customFormat="false" ht="19.5" hidden="false" customHeight="true" outlineLevel="0" collapsed="false">
      <c r="A6" s="2"/>
      <c r="B6" s="30" t="s">
        <v>124</v>
      </c>
      <c r="C6" s="30"/>
      <c r="D6" s="30"/>
      <c r="E6" s="30"/>
      <c r="F6" s="30"/>
      <c r="G6" s="30"/>
      <c r="H6" s="30"/>
      <c r="I6" s="2"/>
    </row>
    <row r="7" customFormat="false" ht="25.5" hidden="false" customHeight="true" outlineLevel="0" collapsed="false">
      <c r="A7" s="2"/>
      <c r="B7" s="31" t="s">
        <v>180</v>
      </c>
      <c r="C7" s="32" t="s">
        <v>23</v>
      </c>
      <c r="D7" s="33" t="s">
        <v>181</v>
      </c>
      <c r="E7" s="34" t="s">
        <v>19</v>
      </c>
      <c r="F7" s="35"/>
      <c r="G7" s="35"/>
      <c r="H7" s="36"/>
      <c r="I7" s="2"/>
    </row>
    <row r="8" customFormat="false" ht="19.5" hidden="false" customHeight="true" outlineLevel="0" collapsed="false">
      <c r="A8" s="2"/>
      <c r="B8" s="30" t="s">
        <v>182</v>
      </c>
      <c r="C8" s="30"/>
      <c r="D8" s="30"/>
      <c r="E8" s="30"/>
      <c r="F8" s="30"/>
      <c r="G8" s="30"/>
      <c r="H8" s="30"/>
      <c r="I8" s="2"/>
    </row>
    <row r="9" customFormat="false" ht="25.5" hidden="false" customHeight="true" outlineLevel="0" collapsed="false">
      <c r="A9" s="2"/>
      <c r="B9" s="31" t="s">
        <v>183</v>
      </c>
      <c r="C9" s="32" t="s">
        <v>23</v>
      </c>
      <c r="D9" s="33" t="s">
        <v>184</v>
      </c>
      <c r="E9" s="34" t="s">
        <v>19</v>
      </c>
      <c r="F9" s="35"/>
      <c r="G9" s="35"/>
      <c r="H9" s="36"/>
      <c r="I9" s="2"/>
    </row>
    <row r="10" customFormat="false" ht="25.5" hidden="false" customHeight="true" outlineLevel="0" collapsed="false">
      <c r="A10" s="2"/>
      <c r="B10" s="31" t="s">
        <v>185</v>
      </c>
      <c r="C10" s="37"/>
      <c r="D10" s="38" t="s">
        <v>186</v>
      </c>
      <c r="E10" s="34" t="s">
        <v>19</v>
      </c>
      <c r="F10" s="35"/>
      <c r="G10" s="35"/>
      <c r="H10" s="36"/>
      <c r="I10" s="2"/>
    </row>
    <row r="11" customFormat="false" ht="25.5" hidden="false" customHeight="true" outlineLevel="0" collapsed="false">
      <c r="A11" s="2"/>
      <c r="B11" s="31" t="s">
        <v>187</v>
      </c>
      <c r="C11" s="37"/>
      <c r="D11" s="38" t="s">
        <v>188</v>
      </c>
      <c r="E11" s="34" t="s">
        <v>19</v>
      </c>
      <c r="F11" s="35"/>
      <c r="G11" s="35"/>
      <c r="H11" s="36"/>
      <c r="I11" s="2"/>
    </row>
    <row r="12" customFormat="false" ht="19.5" hidden="false" customHeight="true" outlineLevel="0" collapsed="false">
      <c r="A12" s="2"/>
      <c r="B12" s="30" t="s">
        <v>189</v>
      </c>
      <c r="C12" s="30"/>
      <c r="D12" s="30"/>
      <c r="E12" s="30"/>
      <c r="F12" s="30"/>
      <c r="G12" s="30"/>
      <c r="H12" s="30"/>
      <c r="I12" s="2"/>
    </row>
    <row r="13" customFormat="false" ht="25.5" hidden="false" customHeight="true" outlineLevel="0" collapsed="false">
      <c r="A13" s="2"/>
      <c r="B13" s="31" t="s">
        <v>190</v>
      </c>
      <c r="C13" s="32" t="s">
        <v>23</v>
      </c>
      <c r="D13" s="33" t="s">
        <v>191</v>
      </c>
      <c r="E13" s="34" t="s">
        <v>19</v>
      </c>
      <c r="F13" s="35"/>
      <c r="G13" s="35"/>
      <c r="H13" s="36"/>
      <c r="I13" s="2"/>
    </row>
    <row r="14" customFormat="false" ht="25.5" hidden="false" customHeight="true" outlineLevel="0" collapsed="false">
      <c r="A14" s="2"/>
      <c r="B14" s="31" t="s">
        <v>192</v>
      </c>
      <c r="C14" s="32" t="s">
        <v>23</v>
      </c>
      <c r="D14" s="33" t="s">
        <v>193</v>
      </c>
      <c r="E14" s="34" t="s">
        <v>19</v>
      </c>
      <c r="F14" s="35"/>
      <c r="G14" s="35"/>
      <c r="H14" s="36"/>
      <c r="I14" s="2"/>
    </row>
    <row r="15" customFormat="false" ht="25.5" hidden="false" customHeight="true" outlineLevel="0" collapsed="false">
      <c r="A15" s="2"/>
      <c r="B15" s="31" t="s">
        <v>194</v>
      </c>
      <c r="C15" s="37"/>
      <c r="D15" s="38" t="s">
        <v>195</v>
      </c>
      <c r="E15" s="34" t="s">
        <v>19</v>
      </c>
      <c r="F15" s="35"/>
      <c r="G15" s="35"/>
      <c r="H15" s="36"/>
      <c r="I15" s="2"/>
    </row>
    <row r="16" customFormat="false" ht="25.5" hidden="false" customHeight="true" outlineLevel="0" collapsed="false">
      <c r="A16" s="2"/>
      <c r="B16" s="31" t="s">
        <v>196</v>
      </c>
      <c r="C16" s="32" t="s">
        <v>23</v>
      </c>
      <c r="D16" s="33" t="s">
        <v>197</v>
      </c>
      <c r="E16" s="34" t="s">
        <v>19</v>
      </c>
      <c r="F16" s="35"/>
      <c r="G16" s="35"/>
      <c r="H16" s="36"/>
      <c r="I16" s="2"/>
    </row>
    <row r="17" customFormat="false" ht="25.5" hidden="false" customHeight="true" outlineLevel="0" collapsed="false">
      <c r="A17" s="2"/>
      <c r="B17" s="31" t="s">
        <v>198</v>
      </c>
      <c r="C17" s="32" t="s">
        <v>23</v>
      </c>
      <c r="D17" s="33" t="s">
        <v>199</v>
      </c>
      <c r="E17" s="34" t="s">
        <v>19</v>
      </c>
      <c r="F17" s="35"/>
      <c r="G17" s="35"/>
      <c r="H17" s="36"/>
      <c r="I17" s="2"/>
    </row>
    <row r="18" customFormat="false" ht="25.5" hidden="false" customHeight="true" outlineLevel="0" collapsed="false">
      <c r="A18" s="2"/>
      <c r="B18" s="31" t="s">
        <v>200</v>
      </c>
      <c r="C18" s="32" t="s">
        <v>23</v>
      </c>
      <c r="D18" s="33" t="s">
        <v>201</v>
      </c>
      <c r="E18" s="34" t="s">
        <v>19</v>
      </c>
      <c r="F18" s="35"/>
      <c r="G18" s="35"/>
      <c r="H18" s="36"/>
      <c r="I18" s="2"/>
    </row>
    <row r="19" customFormat="false" ht="25.5" hidden="false" customHeight="true" outlineLevel="0" collapsed="false">
      <c r="A19" s="2"/>
      <c r="B19" s="31" t="s">
        <v>202</v>
      </c>
      <c r="C19" s="37"/>
      <c r="D19" s="38" t="s">
        <v>203</v>
      </c>
      <c r="E19" s="34" t="s">
        <v>19</v>
      </c>
      <c r="F19" s="35"/>
      <c r="G19" s="35"/>
      <c r="H19" s="36"/>
      <c r="I19" s="2"/>
    </row>
    <row r="20" customFormat="false" ht="19.5" hidden="false" customHeight="true" outlineLevel="0" collapsed="false">
      <c r="A20" s="2"/>
      <c r="B20" s="30" t="s">
        <v>204</v>
      </c>
      <c r="C20" s="30"/>
      <c r="D20" s="30"/>
      <c r="E20" s="30"/>
      <c r="F20" s="30"/>
      <c r="G20" s="30"/>
      <c r="H20" s="30"/>
      <c r="I20" s="2"/>
    </row>
    <row r="21" customFormat="false" ht="25.5" hidden="false" customHeight="true" outlineLevel="0" collapsed="false">
      <c r="A21" s="2"/>
      <c r="B21" s="31" t="s">
        <v>205</v>
      </c>
      <c r="C21" s="32" t="s">
        <v>23</v>
      </c>
      <c r="D21" s="33" t="s">
        <v>206</v>
      </c>
      <c r="E21" s="34" t="s">
        <v>19</v>
      </c>
      <c r="F21" s="35"/>
      <c r="G21" s="35"/>
      <c r="H21" s="36"/>
      <c r="I21" s="2"/>
    </row>
    <row r="22" customFormat="false" ht="25.5" hidden="false" customHeight="true" outlineLevel="0" collapsed="false">
      <c r="A22" s="2"/>
      <c r="B22" s="31" t="s">
        <v>207</v>
      </c>
      <c r="C22" s="32" t="s">
        <v>23</v>
      </c>
      <c r="D22" s="33" t="s">
        <v>208</v>
      </c>
      <c r="E22" s="34" t="s">
        <v>19</v>
      </c>
      <c r="F22" s="35"/>
      <c r="G22" s="35"/>
      <c r="H22" s="36"/>
      <c r="I22" s="2"/>
    </row>
    <row r="23" customFormat="false" ht="25.5" hidden="false" customHeight="true" outlineLevel="0" collapsed="false">
      <c r="A23" s="2"/>
      <c r="B23" s="31" t="s">
        <v>209</v>
      </c>
      <c r="C23" s="37"/>
      <c r="D23" s="38" t="s">
        <v>210</v>
      </c>
      <c r="E23" s="34" t="s">
        <v>19</v>
      </c>
      <c r="F23" s="35"/>
      <c r="G23" s="35"/>
      <c r="H23" s="36"/>
      <c r="I23" s="2"/>
    </row>
    <row r="24" customFormat="false" ht="25.5" hidden="false" customHeight="true" outlineLevel="0" collapsed="false">
      <c r="A24" s="2"/>
      <c r="B24" s="31" t="s">
        <v>211</v>
      </c>
      <c r="C24" s="32" t="s">
        <v>23</v>
      </c>
      <c r="D24" s="33" t="s">
        <v>212</v>
      </c>
      <c r="E24" s="34" t="s">
        <v>19</v>
      </c>
      <c r="F24" s="35"/>
      <c r="G24" s="35"/>
      <c r="H24" s="36"/>
      <c r="I24" s="2"/>
    </row>
    <row r="25" customFormat="false" ht="19.5" hidden="false" customHeight="true" outlineLevel="0" collapsed="false">
      <c r="A25" s="2"/>
      <c r="B25" s="30" t="s">
        <v>213</v>
      </c>
      <c r="C25" s="30"/>
      <c r="D25" s="30"/>
      <c r="E25" s="30"/>
      <c r="F25" s="30"/>
      <c r="G25" s="30"/>
      <c r="H25" s="30"/>
      <c r="I25" s="2"/>
    </row>
    <row r="26" customFormat="false" ht="25.5" hidden="false" customHeight="true" outlineLevel="0" collapsed="false">
      <c r="A26" s="2"/>
      <c r="B26" s="31" t="s">
        <v>214</v>
      </c>
      <c r="C26" s="32" t="s">
        <v>23</v>
      </c>
      <c r="D26" s="33" t="s">
        <v>215</v>
      </c>
      <c r="E26" s="34" t="s">
        <v>19</v>
      </c>
      <c r="F26" s="35"/>
      <c r="G26" s="35"/>
      <c r="H26" s="36"/>
      <c r="I26" s="2"/>
    </row>
    <row r="27" customFormat="false" ht="25.5" hidden="false" customHeight="true" outlineLevel="0" collapsed="false">
      <c r="A27" s="2"/>
      <c r="B27" s="31" t="s">
        <v>216</v>
      </c>
      <c r="C27" s="32" t="s">
        <v>23</v>
      </c>
      <c r="D27" s="33" t="s">
        <v>217</v>
      </c>
      <c r="E27" s="34" t="s">
        <v>19</v>
      </c>
      <c r="F27" s="35"/>
      <c r="G27" s="35"/>
      <c r="H27" s="36"/>
      <c r="I27" s="2"/>
    </row>
    <row r="28" customFormat="false" ht="25.5" hidden="false" customHeight="true" outlineLevel="0" collapsed="false">
      <c r="A28" s="2"/>
      <c r="B28" s="31" t="s">
        <v>218</v>
      </c>
      <c r="C28" s="37"/>
      <c r="D28" s="38" t="s">
        <v>219</v>
      </c>
      <c r="E28" s="34" t="s">
        <v>19</v>
      </c>
      <c r="F28" s="35"/>
      <c r="G28" s="35"/>
      <c r="H28" s="36"/>
      <c r="I28" s="2"/>
    </row>
    <row r="29" customFormat="false" ht="19.5" hidden="false" customHeight="true" outlineLevel="0" collapsed="false">
      <c r="A29" s="2"/>
      <c r="B29" s="30" t="s">
        <v>220</v>
      </c>
      <c r="C29" s="30"/>
      <c r="D29" s="30"/>
      <c r="E29" s="30"/>
      <c r="F29" s="30"/>
      <c r="G29" s="30"/>
      <c r="H29" s="30"/>
      <c r="I29" s="2"/>
    </row>
    <row r="30" customFormat="false" ht="25.5" hidden="false" customHeight="true" outlineLevel="0" collapsed="false">
      <c r="A30" s="2"/>
      <c r="B30" s="31" t="s">
        <v>221</v>
      </c>
      <c r="C30" s="37"/>
      <c r="D30" s="38" t="s">
        <v>222</v>
      </c>
      <c r="E30" s="34" t="s">
        <v>19</v>
      </c>
      <c r="F30" s="35"/>
      <c r="G30" s="35"/>
      <c r="H30" s="36"/>
      <c r="I30" s="2"/>
    </row>
    <row r="31" customFormat="false" ht="25.5" hidden="false" customHeight="true" outlineLevel="0" collapsed="false">
      <c r="A31" s="2"/>
      <c r="B31" s="31" t="s">
        <v>223</v>
      </c>
      <c r="C31" s="37"/>
      <c r="D31" s="38" t="s">
        <v>224</v>
      </c>
      <c r="E31" s="34" t="s">
        <v>19</v>
      </c>
      <c r="F31" s="35"/>
      <c r="G31" s="35"/>
      <c r="H31" s="36"/>
      <c r="I31" s="2"/>
    </row>
    <row r="32" customFormat="false" ht="19.5" hidden="false" customHeight="true" outlineLevel="0" collapsed="false">
      <c r="A32" s="2"/>
      <c r="B32" s="30" t="s">
        <v>225</v>
      </c>
      <c r="C32" s="30"/>
      <c r="D32" s="30"/>
      <c r="E32" s="30"/>
      <c r="F32" s="30"/>
      <c r="G32" s="30"/>
      <c r="H32" s="30"/>
      <c r="I32" s="2"/>
    </row>
    <row r="33" customFormat="false" ht="25.5" hidden="false" customHeight="true" outlineLevel="0" collapsed="false">
      <c r="A33" s="2"/>
      <c r="B33" s="31" t="s">
        <v>226</v>
      </c>
      <c r="C33" s="37"/>
      <c r="D33" s="38" t="s">
        <v>227</v>
      </c>
      <c r="E33" s="34" t="s">
        <v>19</v>
      </c>
      <c r="F33" s="35"/>
      <c r="G33" s="35"/>
      <c r="H33" s="36"/>
      <c r="I33" s="2"/>
    </row>
    <row r="34" customFormat="false" ht="25.5" hidden="false" customHeight="true" outlineLevel="0" collapsed="false">
      <c r="A34" s="2"/>
      <c r="B34" s="31" t="s">
        <v>228</v>
      </c>
      <c r="C34" s="37"/>
      <c r="D34" s="38" t="s">
        <v>229</v>
      </c>
      <c r="E34" s="34" t="s">
        <v>19</v>
      </c>
      <c r="F34" s="35"/>
      <c r="G34" s="35"/>
      <c r="H34" s="36"/>
      <c r="I34" s="2"/>
    </row>
    <row r="35" customFormat="false" ht="25.5" hidden="false" customHeight="true" outlineLevel="0" collapsed="false">
      <c r="A35" s="2"/>
      <c r="B35" s="31" t="s">
        <v>230</v>
      </c>
      <c r="C35" s="37"/>
      <c r="D35" s="38" t="s">
        <v>231</v>
      </c>
      <c r="E35" s="34" t="s">
        <v>19</v>
      </c>
      <c r="F35" s="35"/>
      <c r="G35" s="35"/>
      <c r="H35" s="36"/>
      <c r="I35" s="2"/>
    </row>
    <row r="36" customFormat="false" ht="19.5" hidden="false" customHeight="true" outlineLevel="0" collapsed="false">
      <c r="A36" s="2"/>
      <c r="B36" s="30" t="s">
        <v>232</v>
      </c>
      <c r="C36" s="30"/>
      <c r="D36" s="30"/>
      <c r="E36" s="30"/>
      <c r="F36" s="30"/>
      <c r="G36" s="30"/>
      <c r="H36" s="30"/>
      <c r="I36" s="2"/>
    </row>
    <row r="37" customFormat="false" ht="25.5" hidden="false" customHeight="true" outlineLevel="0" collapsed="false">
      <c r="A37" s="2"/>
      <c r="B37" s="31" t="s">
        <v>233</v>
      </c>
      <c r="C37" s="32" t="s">
        <v>23</v>
      </c>
      <c r="D37" s="33" t="s">
        <v>234</v>
      </c>
      <c r="E37" s="34" t="s">
        <v>19</v>
      </c>
      <c r="F37" s="35"/>
      <c r="G37" s="35"/>
      <c r="H37" s="36"/>
      <c r="I37" s="2"/>
    </row>
    <row r="38" customFormat="false" ht="25.5" hidden="false" customHeight="true" outlineLevel="0" collapsed="false">
      <c r="A38" s="2"/>
      <c r="B38" s="31" t="s">
        <v>235</v>
      </c>
      <c r="C38" s="32" t="s">
        <v>23</v>
      </c>
      <c r="D38" s="33" t="s">
        <v>236</v>
      </c>
      <c r="E38" s="34" t="s">
        <v>19</v>
      </c>
      <c r="F38" s="35"/>
      <c r="G38" s="35"/>
      <c r="H38" s="36"/>
      <c r="I38" s="2"/>
    </row>
    <row r="39" customFormat="false" ht="25.5" hidden="false" customHeight="true" outlineLevel="0" collapsed="false">
      <c r="A39" s="2"/>
      <c r="B39" s="31" t="s">
        <v>237</v>
      </c>
      <c r="C39" s="32" t="s">
        <v>23</v>
      </c>
      <c r="D39" s="33" t="s">
        <v>238</v>
      </c>
      <c r="E39" s="34" t="s">
        <v>19</v>
      </c>
      <c r="F39" s="35"/>
      <c r="G39" s="35"/>
      <c r="H39" s="36"/>
      <c r="I39" s="2"/>
    </row>
    <row r="40" customFormat="false" ht="25.5" hidden="false" customHeight="true" outlineLevel="0" collapsed="false">
      <c r="A40" s="2"/>
      <c r="B40" s="31" t="s">
        <v>239</v>
      </c>
      <c r="C40" s="37"/>
      <c r="D40" s="38" t="s">
        <v>240</v>
      </c>
      <c r="E40" s="34" t="s">
        <v>19</v>
      </c>
      <c r="F40" s="35"/>
      <c r="G40" s="35"/>
      <c r="H40" s="36"/>
      <c r="I40" s="2"/>
    </row>
    <row r="41" customFormat="false" ht="19.5" hidden="false" customHeight="true" outlineLevel="0" collapsed="false">
      <c r="A41" s="2"/>
      <c r="B41" s="30" t="s">
        <v>241</v>
      </c>
      <c r="C41" s="30"/>
      <c r="D41" s="30"/>
      <c r="E41" s="30"/>
      <c r="F41" s="30"/>
      <c r="G41" s="30"/>
      <c r="H41" s="30"/>
      <c r="I41" s="2"/>
    </row>
    <row r="42" customFormat="false" ht="25.5" hidden="false" customHeight="true" outlineLevel="0" collapsed="false">
      <c r="A42" s="2"/>
      <c r="B42" s="31" t="s">
        <v>242</v>
      </c>
      <c r="C42" s="32" t="s">
        <v>23</v>
      </c>
      <c r="D42" s="33" t="s">
        <v>243</v>
      </c>
      <c r="E42" s="34" t="s">
        <v>19</v>
      </c>
      <c r="F42" s="35"/>
      <c r="G42" s="35"/>
      <c r="H42" s="36"/>
      <c r="I42" s="2"/>
    </row>
    <row r="43" customFormat="false" ht="25.5" hidden="false" customHeight="true" outlineLevel="0" collapsed="false">
      <c r="A43" s="2"/>
      <c r="B43" s="31" t="s">
        <v>244</v>
      </c>
      <c r="C43" s="32" t="s">
        <v>23</v>
      </c>
      <c r="D43" s="33" t="s">
        <v>245</v>
      </c>
      <c r="E43" s="34" t="s">
        <v>19</v>
      </c>
      <c r="F43" s="35"/>
      <c r="G43" s="35"/>
      <c r="H43" s="36"/>
      <c r="I43" s="2"/>
    </row>
    <row r="44" customFormat="false" ht="25.5" hidden="false" customHeight="true" outlineLevel="0" collapsed="false">
      <c r="A44" s="2"/>
      <c r="B44" s="31" t="s">
        <v>246</v>
      </c>
      <c r="C44" s="32" t="s">
        <v>23</v>
      </c>
      <c r="D44" s="33" t="s">
        <v>247</v>
      </c>
      <c r="E44" s="34" t="s">
        <v>19</v>
      </c>
      <c r="F44" s="35"/>
      <c r="G44" s="35"/>
      <c r="H44" s="36"/>
      <c r="I44" s="2"/>
    </row>
    <row r="45" customFormat="false" ht="25.5" hidden="false" customHeight="true" outlineLevel="0" collapsed="false">
      <c r="A45" s="2"/>
      <c r="B45" s="31" t="s">
        <v>248</v>
      </c>
      <c r="C45" s="32" t="s">
        <v>23</v>
      </c>
      <c r="D45" s="33" t="s">
        <v>249</v>
      </c>
      <c r="E45" s="34" t="s">
        <v>19</v>
      </c>
      <c r="F45" s="35"/>
      <c r="G45" s="35"/>
      <c r="H45" s="36"/>
      <c r="I45" s="2"/>
    </row>
    <row r="46" customFormat="false" ht="25.5" hidden="false" customHeight="true" outlineLevel="0" collapsed="false">
      <c r="A46" s="2"/>
      <c r="B46" s="31" t="s">
        <v>250</v>
      </c>
      <c r="C46" s="32" t="s">
        <v>23</v>
      </c>
      <c r="D46" s="33" t="s">
        <v>251</v>
      </c>
      <c r="E46" s="34" t="s">
        <v>19</v>
      </c>
      <c r="F46" s="35"/>
      <c r="G46" s="35"/>
      <c r="H46" s="36"/>
      <c r="I46" s="2"/>
    </row>
    <row r="47" customFormat="false" ht="15" hidden="false" customHeight="true" outlineLevel="0" collapsed="false">
      <c r="A47" s="2"/>
      <c r="I47" s="2"/>
    </row>
    <row r="48" customFormat="false" ht="15" hidden="false" customHeight="true" outlineLevel="0" collapsed="false">
      <c r="A48" s="2"/>
      <c r="I48" s="2"/>
    </row>
  </sheetData>
  <mergeCells count="12">
    <mergeCell ref="B1:H1"/>
    <mergeCell ref="B2:H2"/>
    <mergeCell ref="B3:H3"/>
    <mergeCell ref="B6:H6"/>
    <mergeCell ref="B8:H8"/>
    <mergeCell ref="B12:H12"/>
    <mergeCell ref="B20:H20"/>
    <mergeCell ref="B25:H25"/>
    <mergeCell ref="B29:H29"/>
    <mergeCell ref="B32:H32"/>
    <mergeCell ref="B36:H36"/>
    <mergeCell ref="B41:H41"/>
  </mergeCells>
  <conditionalFormatting sqref="E7:E46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 Progress"</formula>
    </cfRule>
    <cfRule type="cellIs" priority="5" operator="equal" aboveAverage="0" equalAverage="0" bottom="0" percent="0" rank="0" text="" dxfId="3">
      <formula>"N/A"</formula>
    </cfRule>
    <cfRule type="cellIs" priority="6" operator="equal" aboveAverage="0" equalAverage="0" bottom="0" percent="0" rank="0" text="" dxfId="4">
      <formula>"Not Started"</formula>
    </cfRule>
  </conditionalFormatting>
  <dataValidations count="1">
    <dataValidation allowBlank="true" errorStyle="stop" operator="between" showDropDown="false" showErrorMessage="false" showInputMessage="false" sqref="E7:E46" type="list">
      <formula1>"Not Started,In Progress,Pass,Fail,N/A"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2"/>
      <c r="B1" s="39" t="s">
        <v>0</v>
      </c>
      <c r="C1" s="2"/>
    </row>
    <row r="2" customFormat="false" ht="27.75" hidden="false" customHeight="true" outlineLevel="0" collapsed="false">
      <c r="A2" s="2"/>
      <c r="B2" s="40" t="s">
        <v>252</v>
      </c>
      <c r="C2" s="2"/>
    </row>
    <row r="3" customFormat="false" ht="15" hidden="false" customHeight="true" outlineLevel="0" collapsed="false">
      <c r="A3" s="2"/>
      <c r="B3" s="2"/>
      <c r="C3" s="2"/>
    </row>
    <row r="4" customFormat="false" ht="7.5" hidden="false" customHeight="true" outlineLevel="0" collapsed="false">
      <c r="A4" s="2"/>
      <c r="B4" s="41"/>
      <c r="C4" s="2"/>
    </row>
    <row r="5" customFormat="false" ht="18" hidden="false" customHeight="true" outlineLevel="0" collapsed="false">
      <c r="A5" s="2"/>
      <c r="B5" s="41" t="s">
        <v>253</v>
      </c>
      <c r="C5" s="2"/>
    </row>
    <row r="6" customFormat="false" ht="18" hidden="false" customHeight="true" outlineLevel="0" collapsed="false">
      <c r="A6" s="2"/>
      <c r="B6" s="41" t="s">
        <v>254</v>
      </c>
      <c r="C6" s="2"/>
    </row>
    <row r="7" customFormat="false" ht="18" hidden="false" customHeight="true" outlineLevel="0" collapsed="false">
      <c r="A7" s="2"/>
      <c r="B7" s="41" t="s">
        <v>255</v>
      </c>
      <c r="C7" s="2"/>
    </row>
    <row r="8" customFormat="false" ht="18" hidden="false" customHeight="true" outlineLevel="0" collapsed="false">
      <c r="A8" s="2"/>
      <c r="B8" s="41" t="s">
        <v>256</v>
      </c>
      <c r="C8" s="2"/>
    </row>
    <row r="9" customFormat="false" ht="18" hidden="false" customHeight="true" outlineLevel="0" collapsed="false">
      <c r="A9" s="2"/>
      <c r="B9" s="41" t="s">
        <v>257</v>
      </c>
      <c r="C9" s="2"/>
    </row>
    <row r="10" customFormat="false" ht="18" hidden="false" customHeight="true" outlineLevel="0" collapsed="false">
      <c r="A10" s="2"/>
      <c r="B10" s="41" t="s">
        <v>258</v>
      </c>
      <c r="C10" s="2"/>
    </row>
    <row r="11" customFormat="false" ht="18" hidden="false" customHeight="true" outlineLevel="0" collapsed="false">
      <c r="A11" s="2"/>
      <c r="B11" s="41" t="s">
        <v>259</v>
      </c>
      <c r="C11" s="2"/>
    </row>
    <row r="12" customFormat="false" ht="7.5" hidden="false" customHeight="true" outlineLevel="0" collapsed="false">
      <c r="A12" s="2"/>
      <c r="B12" s="41"/>
      <c r="C12" s="2"/>
    </row>
    <row r="13" customFormat="false" ht="18" hidden="false" customHeight="true" outlineLevel="0" collapsed="false">
      <c r="A13" s="2"/>
      <c r="B13" s="42" t="s">
        <v>260</v>
      </c>
      <c r="C13" s="2"/>
    </row>
    <row r="14" customFormat="false" ht="18" hidden="false" customHeight="true" outlineLevel="0" collapsed="false">
      <c r="A14" s="2"/>
      <c r="B14" s="41" t="s">
        <v>261</v>
      </c>
      <c r="C14" s="2"/>
    </row>
    <row r="15" customFormat="false" ht="18" hidden="false" customHeight="true" outlineLevel="0" collapsed="false">
      <c r="A15" s="2"/>
      <c r="B15" s="41" t="s">
        <v>262</v>
      </c>
      <c r="C15" s="2"/>
    </row>
    <row r="16" customFormat="false" ht="18" hidden="false" customHeight="true" outlineLevel="0" collapsed="false">
      <c r="A16" s="2"/>
      <c r="B16" s="41" t="s">
        <v>263</v>
      </c>
      <c r="C16" s="2"/>
    </row>
    <row r="17" customFormat="false" ht="7.5" hidden="false" customHeight="true" outlineLevel="0" collapsed="false">
      <c r="A17" s="2"/>
      <c r="B17" s="41"/>
      <c r="C17" s="2"/>
    </row>
    <row r="18" customFormat="false" ht="18" hidden="false" customHeight="true" outlineLevel="0" collapsed="false">
      <c r="A18" s="2"/>
      <c r="B18" s="41" t="s">
        <v>264</v>
      </c>
      <c r="C18" s="2"/>
    </row>
    <row r="19" customFormat="false" ht="15" hidden="false" customHeight="true" outlineLevel="0" collapsed="false">
      <c r="A19" s="2"/>
      <c r="B19" s="2"/>
      <c r="C19" s="2"/>
    </row>
    <row r="20" customFormat="false" ht="15" hidden="false" customHeight="true" outlineLevel="0" collapsed="false">
      <c r="A20" s="2"/>
      <c r="B20" s="2"/>
      <c r="C20" s="2"/>
    </row>
    <row r="21" customFormat="false" ht="15" hidden="false" customHeight="true" outlineLevel="0" collapsed="false">
      <c r="A21" s="2"/>
      <c r="B21" s="2"/>
      <c r="C21" s="2"/>
    </row>
    <row r="22" customFormat="false" ht="15" hidden="false" customHeight="true" outlineLevel="0" collapsed="false">
      <c r="A22" s="2"/>
      <c r="B22" s="2"/>
      <c r="C22" s="2"/>
    </row>
    <row r="23" customFormat="false" ht="15" hidden="false" customHeight="true" outlineLevel="0" collapsed="false">
      <c r="A23" s="2"/>
      <c r="B23" s="2"/>
      <c r="C23" s="2"/>
    </row>
    <row r="24" customFormat="false" ht="15" hidden="false" customHeight="true" outlineLevel="0" collapsed="false">
      <c r="A24" s="2"/>
      <c r="B24" s="2"/>
      <c r="C24" s="2"/>
    </row>
    <row r="25" customFormat="false" ht="15" hidden="false" customHeight="true" outlineLevel="0" collapsed="false">
      <c r="A25" s="2"/>
      <c r="B25" s="2"/>
      <c r="C25" s="2"/>
    </row>
    <row r="26" customFormat="false" ht="15" hidden="false" customHeight="true" outlineLevel="0" collapsed="false">
      <c r="A26" s="2"/>
      <c r="B26" s="2"/>
      <c r="C26" s="2"/>
    </row>
    <row r="27" customFormat="false" ht="15" hidden="false" customHeight="true" outlineLevel="0" collapsed="false">
      <c r="A27" s="2"/>
      <c r="B27" s="2"/>
      <c r="C27" s="2"/>
    </row>
    <row r="28" customFormat="false" ht="15" hidden="false" customHeight="true" outlineLevel="0" collapsed="false">
      <c r="A28" s="2"/>
      <c r="B28" s="2"/>
      <c r="C28" s="2"/>
    </row>
    <row r="29" customFormat="false" ht="15" hidden="false" customHeight="true" outlineLevel="0" collapsed="false">
      <c r="A29" s="2"/>
      <c r="B29" s="2"/>
      <c r="C29" s="2"/>
    </row>
    <row r="30" customFormat="false" ht="15" hidden="false" customHeight="true" outlineLevel="0" collapsed="false">
      <c r="A30" s="2"/>
      <c r="B30" s="2"/>
      <c r="C30" s="2"/>
    </row>
    <row r="31" customFormat="false" ht="15" hidden="false" customHeight="true" outlineLevel="0" collapsed="false">
      <c r="A31" s="2"/>
      <c r="B31" s="2"/>
      <c r="C31" s="2"/>
    </row>
    <row r="32" customFormat="false" ht="15" hidden="false" customHeight="true" outlineLevel="0" collapsed="false">
      <c r="A32" s="2"/>
      <c r="B32" s="2"/>
      <c r="C32" s="2"/>
    </row>
    <row r="33" customFormat="false" ht="15" hidden="false" customHeight="true" outlineLevel="0" collapsed="false">
      <c r="A33" s="2"/>
      <c r="B33" s="2"/>
      <c r="C33" s="2"/>
    </row>
    <row r="34" customFormat="false" ht="15" hidden="false" customHeight="true" outlineLevel="0" collapsed="false">
      <c r="A34" s="2"/>
      <c r="B34" s="2"/>
      <c r="C34" s="2"/>
    </row>
    <row r="35" customFormat="false" ht="15" hidden="false" customHeight="true" outlineLevel="0" collapsed="false">
      <c r="A35" s="2"/>
      <c r="B35" s="2"/>
      <c r="C35" s="2"/>
    </row>
    <row r="36" customFormat="false" ht="15" hidden="false" customHeight="true" outlineLevel="0" collapsed="false">
      <c r="A36" s="2"/>
      <c r="B36" s="2"/>
      <c r="C36" s="2"/>
    </row>
    <row r="37" customFormat="false" ht="15" hidden="false" customHeight="true" outlineLevel="0" collapsed="false">
      <c r="A37" s="2"/>
      <c r="B37" s="2"/>
      <c r="C37" s="2"/>
    </row>
    <row r="38" customFormat="false" ht="15" hidden="false" customHeight="true" outlineLevel="0" collapsed="false">
      <c r="A38" s="2"/>
      <c r="B38" s="2"/>
      <c r="C38" s="2"/>
    </row>
    <row r="39" customFormat="false" ht="15" hidden="false" customHeight="true" outlineLevel="0" collapsed="false">
      <c r="A39" s="2"/>
      <c r="B39" s="2"/>
      <c r="C39" s="2"/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2026-05-28T13:20:23Z</dcterms:created>
  <dc:creator>openpyxl</dc:creator>
  <dc:description/>
  <dc:language>en-US</dc:language>
  <cp:lastModifiedBy/>
  <dcterms:modified xsi:type="dcterms:W3CDTF">2026-05-28T13:20:34Z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