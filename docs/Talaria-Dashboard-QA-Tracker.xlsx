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QA Tracker" sheetId="2" state="visible" r:id="rId2"/>
    <sheet name="Summary" sheetId="3" state="visible" r:id="rId3"/>
    <sheet name="Test Matrix Reference" sheetId="4" state="visible" r:id="rId4"/>
    <sheet name="S1 Strategies" sheetId="5" state="visible" r:id="rId5"/>
    <sheet name="S2 Sessions" sheetId="6" state="visible" r:id="rId6"/>
    <sheet name="S3 Trades" sheetId="7" state="visible" r:id="rId7"/>
    <sheet name="S4 Sources" sheetId="8" state="visible" r:id="rId8"/>
  </sheets>
  <definedNames>
    <definedName name="_xlnm._FilterDatabase" localSheetId="1" hidden="1">'QA Tracker'!$A$1:$M$542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4"/>
    </font>
    <font/>
    <font>
      <b val="1"/>
    </font>
    <font>
      <b val="1"/>
      <color rgb="00FFFFFF"/>
      <sz val="9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3E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0" fontId="4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8" customWidth="1" min="1" max="1"/>
    <col width="95" customWidth="1" min="2" max="2"/>
  </cols>
  <sheetData>
    <row r="1">
      <c r="A1" s="1" t="inlineStr">
        <is>
          <t>TALARIA DASHBOARD — EXHAUSTIVE UAT TRACKER</t>
        </is>
      </c>
    </row>
    <row r="2">
      <c r="A2" s="2" t="inlineStr"/>
      <c r="B2" s="3" t="inlineStr"/>
    </row>
    <row r="3">
      <c r="A3" s="4" t="inlineStr">
        <is>
          <t>Scope</t>
        </is>
      </c>
      <c r="B3" s="3" t="inlineStr">
        <is>
          <t>Every field, configuration, validation path, visual/layout check, normal + edge + extreme inputs.</t>
        </is>
      </c>
    </row>
    <row r="4">
      <c r="A4" s="4" t="inlineStr">
        <is>
          <t>Testers</t>
        </is>
      </c>
      <c r="B4" s="3" t="inlineStr">
        <is>
          <t>2 people — Tester A (Sections 1–2), Tester B (Sections 3–4), then swap.</t>
        </is>
      </c>
    </row>
    <row r="5">
      <c r="A5" s="4" t="inlineStr">
        <is>
          <t>Categories</t>
        </is>
      </c>
      <c r="B5" s="3" t="inlineStr">
        <is>
          <t>Normal | Edge | Extreme | Configuration | Input matrix | Logic | Structure</t>
        </is>
      </c>
    </row>
    <row r="6">
      <c r="A6" s="4" t="inlineStr">
        <is>
          <t>Columns</t>
        </is>
      </c>
      <c r="B6" s="3" t="inlineStr">
        <is>
          <t>Test Input = exact value to enter; Expected Result = pass criteria.</t>
        </is>
      </c>
    </row>
    <row r="7">
      <c r="A7" s="4" t="inlineStr">
        <is>
          <t>Result</t>
        </is>
      </c>
      <c r="B7" s="3" t="inlineStr">
        <is>
          <t>☑ Pass | ☐ Fail | ⚠ Partial | — Not tested</t>
        </is>
      </c>
    </row>
    <row r="8">
      <c r="A8" s="4" t="inlineStr">
        <is>
          <t>P0</t>
        </is>
      </c>
      <c r="B8" s="3" t="inlineStr">
        <is>
          <t>Launch blocker — stop and report immediately.</t>
        </is>
      </c>
    </row>
    <row r="9">
      <c r="A9" s="2" t="inlineStr"/>
      <c r="B9" s="3" t="inlineStr">
        <is>
          <t>Total steps: 541 across 4 sections</t>
        </is>
      </c>
    </row>
    <row r="10">
      <c r="A10" s="4" t="inlineStr">
        <is>
          <t>1 — Strategies</t>
        </is>
      </c>
      <c r="B10" s="3" t="inlineStr">
        <is>
          <t>Phases 1–13, 44, 49, 50, 52: Bank + Builder + abuse/responsive</t>
        </is>
      </c>
    </row>
    <row r="11">
      <c r="A11" s="4" t="inlineStr">
        <is>
          <t>2 — Sessions</t>
        </is>
      </c>
      <c r="B11" s="3" t="inlineStr">
        <is>
          <t>Phases 14–24, 42–43, 49–51: List + Modal + mode matrix + toggles</t>
        </is>
      </c>
    </row>
    <row r="12">
      <c r="A12" s="4" t="inlineStr">
        <is>
          <t>3 — Trades</t>
        </is>
      </c>
      <c r="B12" s="3" t="inlineStr">
        <is>
          <t>Phases 25–34, 45–47, 49–50, 53: Table + validations + import/export</t>
        </is>
      </c>
    </row>
    <row r="13">
      <c r="A13" s="4" t="inlineStr">
        <is>
          <t>4 — Sources</t>
        </is>
      </c>
      <c r="B13" s="3" t="inlineStr">
        <is>
          <t>Phases 35–41, 48, 49–50, 54–55: Library + compare + state machine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6" customWidth="1" min="3" max="3"/>
    <col width="26" customWidth="1" min="4" max="4"/>
    <col width="14" customWidth="1" min="5" max="5"/>
    <col width="7" customWidth="1" min="6" max="6"/>
    <col width="48" customWidth="1" min="7" max="7"/>
    <col width="22" customWidth="1" min="8" max="8"/>
    <col width="38" customWidth="1" min="9" max="9"/>
    <col width="12" customWidth="1" min="10" max="10"/>
    <col width="12" customWidth="1" min="11" max="11"/>
    <col width="9" customWidth="1" min="12" max="12"/>
    <col width="32" customWidth="1" min="13" max="13"/>
  </cols>
  <sheetData>
    <row r="1">
      <c r="A1" s="5" t="inlineStr">
        <is>
          <t>Step #</t>
        </is>
      </c>
      <c r="B1" s="5" t="inlineStr">
        <is>
          <t>Section</t>
        </is>
      </c>
      <c r="C1" s="5" t="inlineStr">
        <is>
          <t>Phase</t>
        </is>
      </c>
      <c r="D1" s="5" t="inlineStr">
        <is>
          <t>Phase Name</t>
        </is>
      </c>
      <c r="E1" s="5" t="inlineStr">
        <is>
          <t>Category</t>
        </is>
      </c>
      <c r="F1" s="5" t="inlineStr">
        <is>
          <t>Priority</t>
        </is>
      </c>
      <c r="G1" s="5" t="inlineStr">
        <is>
          <t>What to Do</t>
        </is>
      </c>
      <c r="H1" s="5" t="inlineStr">
        <is>
          <t>Test Input</t>
        </is>
      </c>
      <c r="I1" s="5" t="inlineStr">
        <is>
          <t>Expected Result</t>
        </is>
      </c>
      <c r="J1" s="5" t="inlineStr">
        <is>
          <t>Tester A</t>
        </is>
      </c>
      <c r="K1" s="5" t="inlineStr">
        <is>
          <t>Tester B</t>
        </is>
      </c>
      <c r="L1" s="5" t="inlineStr">
        <is>
          <t>Issue?</t>
        </is>
      </c>
      <c r="M1" s="5" t="inlineStr">
        <is>
          <t>Comments</t>
        </is>
      </c>
    </row>
    <row r="2">
      <c r="A2" s="6" t="n">
        <v>1</v>
      </c>
      <c r="B2" s="6" t="inlineStr">
        <is>
          <t>1 — Strategies</t>
        </is>
      </c>
      <c r="C2" s="6" t="n">
        <v>1</v>
      </c>
      <c r="D2" s="6" t="inlineStr">
        <is>
          <t>Strategy Bank — Access &amp; Shell</t>
        </is>
      </c>
      <c r="E2" s="7" t="inlineStr">
        <is>
          <t>Structure</t>
        </is>
      </c>
      <c r="F2" s="7" t="inlineStr">
        <is>
          <t>P0</t>
        </is>
      </c>
      <c r="G2" s="7" t="inlineStr">
        <is>
          <t>Open /dashboard/ while logged in.</t>
        </is>
      </c>
      <c r="H2" s="7" t="inlineStr">
        <is>
          <t>—</t>
        </is>
      </c>
      <c r="I2" s="7" t="inlineStr">
        <is>
          <t>Dashboard shell loads; left nav visible.</t>
        </is>
      </c>
      <c r="J2" s="7" t="inlineStr">
        <is>
          <t>— Not tested</t>
        </is>
      </c>
      <c r="K2" s="7" t="inlineStr">
        <is>
          <t>— Not tested</t>
        </is>
      </c>
      <c r="L2" s="7" t="inlineStr">
        <is>
          <t>— Not tested</t>
        </is>
      </c>
    </row>
    <row r="3">
      <c r="A3" s="6" t="n">
        <v>2</v>
      </c>
      <c r="B3" s="6" t="inlineStr">
        <is>
          <t>1 — Strategies</t>
        </is>
      </c>
      <c r="C3" s="6" t="n">
        <v>1</v>
      </c>
      <c r="D3" s="6" t="inlineStr">
        <is>
          <t>Strategy Bank — Access &amp; Shell</t>
        </is>
      </c>
      <c r="E3" s="7" t="inlineStr">
        <is>
          <t>Structure</t>
        </is>
      </c>
      <c r="F3" s="7" t="inlineStr">
        <is>
          <t>P0</t>
        </is>
      </c>
      <c r="G3" s="7" t="inlineStr">
        <is>
          <t>Navigate to Strategies via left nav.</t>
        </is>
      </c>
      <c r="H3" s="7" t="inlineStr">
        <is>
          <t>—</t>
        </is>
      </c>
      <c r="I3" s="7" t="inlineStr">
        <is>
          <t>Strategy Bank page; header title visible.</t>
        </is>
      </c>
      <c r="J3" s="7" t="inlineStr">
        <is>
          <t>— Not tested</t>
        </is>
      </c>
      <c r="K3" s="7" t="inlineStr">
        <is>
          <t>— Not tested</t>
        </is>
      </c>
      <c r="L3" s="7" t="inlineStr">
        <is>
          <t>— Not tested</t>
        </is>
      </c>
    </row>
    <row r="4">
      <c r="A4" s="6" t="n">
        <v>3</v>
      </c>
      <c r="B4" s="6" t="inlineStr">
        <is>
          <t>1 — Strategies</t>
        </is>
      </c>
      <c r="C4" s="6" t="n">
        <v>1</v>
      </c>
      <c r="D4" s="6" t="inlineStr">
        <is>
          <t>Strategy Bank — Access &amp; Shell</t>
        </is>
      </c>
      <c r="E4" s="7" t="inlineStr">
        <is>
          <t>Structure</t>
        </is>
      </c>
      <c r="F4" s="7" t="inlineStr">
        <is>
          <t>P1</t>
        </is>
      </c>
      <c r="G4" s="7" t="inlineStr">
        <is>
          <t>Refresh browser on Strategy Bank.</t>
        </is>
      </c>
      <c r="H4" s="7" t="inlineStr">
        <is>
          <t>—</t>
        </is>
      </c>
      <c r="I4" s="7" t="inlineStr">
        <is>
          <t>Page reloads; strategies list persists.</t>
        </is>
      </c>
      <c r="J4" s="7" t="inlineStr">
        <is>
          <t>— Not tested</t>
        </is>
      </c>
      <c r="K4" s="7" t="inlineStr">
        <is>
          <t>— Not tested</t>
        </is>
      </c>
      <c r="L4" s="7" t="inlineStr">
        <is>
          <t>— Not tested</t>
        </is>
      </c>
    </row>
    <row r="5">
      <c r="A5" s="6" t="n">
        <v>4</v>
      </c>
      <c r="B5" s="6" t="inlineStr">
        <is>
          <t>1 — Strategies</t>
        </is>
      </c>
      <c r="C5" s="6" t="n">
        <v>1</v>
      </c>
      <c r="D5" s="6" t="inlineStr">
        <is>
          <t>Strategy Bank — Access &amp; Shell</t>
        </is>
      </c>
      <c r="E5" s="7" t="inlineStr">
        <is>
          <t>Structure</t>
        </is>
      </c>
      <c r="F5" s="7" t="inlineStr">
        <is>
          <t>P1</t>
        </is>
      </c>
      <c r="G5" s="7" t="inlineStr">
        <is>
          <t>Resize browser: 1920px, 1366px, 1024px widths.</t>
        </is>
      </c>
      <c r="H5" s="7" t="inlineStr">
        <is>
          <t>3 widths</t>
        </is>
      </c>
      <c r="I5" s="7" t="inlineStr">
        <is>
          <t>Layout does not overlap or clip header/controls.</t>
        </is>
      </c>
      <c r="J5" s="7" t="inlineStr">
        <is>
          <t>— Not tested</t>
        </is>
      </c>
      <c r="K5" s="7" t="inlineStr">
        <is>
          <t>— Not tested</t>
        </is>
      </c>
      <c r="L5" s="7" t="inlineStr">
        <is>
          <t>— Not tested</t>
        </is>
      </c>
    </row>
    <row r="6">
      <c r="A6" s="6" t="n">
        <v>5</v>
      </c>
      <c r="B6" s="6" t="inlineStr">
        <is>
          <t>1 — Strategies</t>
        </is>
      </c>
      <c r="C6" s="6" t="n">
        <v>1</v>
      </c>
      <c r="D6" s="6" t="inlineStr">
        <is>
          <t>Strategy Bank — Access &amp; Shell</t>
        </is>
      </c>
      <c r="E6" s="7" t="inlineStr">
        <is>
          <t>Structure</t>
        </is>
      </c>
      <c r="F6" s="7" t="inlineStr">
        <is>
          <t>P2</t>
        </is>
      </c>
      <c r="G6" s="7" t="inlineStr">
        <is>
          <t>Zoom browser 90% and 110%.</t>
        </is>
      </c>
      <c r="H6" s="7" t="inlineStr">
        <is>
          <t>—</t>
        </is>
      </c>
      <c r="I6" s="7" t="inlineStr">
        <is>
          <t>Cards/rows remain readable; no broken dropdowns.</t>
        </is>
      </c>
      <c r="J6" s="7" t="inlineStr">
        <is>
          <t>— Not tested</t>
        </is>
      </c>
      <c r="K6" s="7" t="inlineStr">
        <is>
          <t>— Not tested</t>
        </is>
      </c>
      <c r="L6" s="7" t="inlineStr">
        <is>
          <t>— Not tested</t>
        </is>
      </c>
    </row>
    <row r="7">
      <c r="A7" s="6" t="n">
        <v>6</v>
      </c>
      <c r="B7" s="6" t="inlineStr">
        <is>
          <t>1 — Strategies</t>
        </is>
      </c>
      <c r="C7" s="6" t="n">
        <v>2</v>
      </c>
      <c r="D7" s="6" t="inlineStr">
        <is>
          <t>Strategy Bank — Controls &amp; Empty States</t>
        </is>
      </c>
      <c r="E7" s="7" t="inlineStr">
        <is>
          <t>Normal</t>
        </is>
      </c>
      <c r="F7" s="7" t="inlineStr">
        <is>
          <t>P0</t>
        </is>
      </c>
      <c r="G7" s="7" t="inlineStr">
        <is>
          <t>Click Build Strategy.</t>
        </is>
      </c>
      <c r="H7" s="7" t="inlineStr">
        <is>
          <t>—</t>
        </is>
      </c>
      <c r="I7" s="7" t="inlineStr">
        <is>
          <t>Template picker OR builder opens.</t>
        </is>
      </c>
      <c r="J7" s="7" t="inlineStr">
        <is>
          <t>— Not tested</t>
        </is>
      </c>
      <c r="K7" s="7" t="inlineStr">
        <is>
          <t>— Not tested</t>
        </is>
      </c>
      <c r="L7" s="7" t="inlineStr">
        <is>
          <t>— Not tested</t>
        </is>
      </c>
    </row>
    <row r="8">
      <c r="A8" s="6" t="n">
        <v>7</v>
      </c>
      <c r="B8" s="6" t="inlineStr">
        <is>
          <t>1 — Strategies</t>
        </is>
      </c>
      <c r="C8" s="6" t="n">
        <v>2</v>
      </c>
      <c r="D8" s="6" t="inlineStr">
        <is>
          <t>Strategy Bank — Controls &amp; Empty States</t>
        </is>
      </c>
      <c r="E8" s="7" t="inlineStr">
        <is>
          <t>Normal</t>
        </is>
      </c>
      <c r="F8" s="7" t="inlineStr">
        <is>
          <t>P1</t>
        </is>
      </c>
      <c r="G8" s="7" t="inlineStr">
        <is>
          <t>Toggle Cards view.</t>
        </is>
      </c>
      <c r="H8" s="7" t="inlineStr">
        <is>
          <t>—</t>
        </is>
      </c>
      <c r="I8" s="7" t="inlineStr">
        <is>
          <t>Grid of cards with consistent height.</t>
        </is>
      </c>
      <c r="J8" s="7" t="inlineStr">
        <is>
          <t>— Not tested</t>
        </is>
      </c>
      <c r="K8" s="7" t="inlineStr">
        <is>
          <t>— Not tested</t>
        </is>
      </c>
      <c r="L8" s="7" t="inlineStr">
        <is>
          <t>— Not tested</t>
        </is>
      </c>
    </row>
    <row r="9">
      <c r="A9" s="6" t="n">
        <v>8</v>
      </c>
      <c r="B9" s="6" t="inlineStr">
        <is>
          <t>1 — Strategies</t>
        </is>
      </c>
      <c r="C9" s="6" t="n">
        <v>2</v>
      </c>
      <c r="D9" s="6" t="inlineStr">
        <is>
          <t>Strategy Bank — Controls &amp; Empty States</t>
        </is>
      </c>
      <c r="E9" s="7" t="inlineStr">
        <is>
          <t>Normal</t>
        </is>
      </c>
      <c r="F9" s="7" t="inlineStr">
        <is>
          <t>P1</t>
        </is>
      </c>
      <c r="G9" s="7" t="inlineStr">
        <is>
          <t>Toggle Rows view.</t>
        </is>
      </c>
      <c r="H9" s="7" t="inlineStr">
        <is>
          <t>—</t>
        </is>
      </c>
      <c r="I9" s="7" t="inlineStr">
        <is>
          <t>Table rows align; columns readable.</t>
        </is>
      </c>
      <c r="J9" s="7" t="inlineStr">
        <is>
          <t>— Not tested</t>
        </is>
      </c>
      <c r="K9" s="7" t="inlineStr">
        <is>
          <t>— Not tested</t>
        </is>
      </c>
      <c r="L9" s="7" t="inlineStr">
        <is>
          <t>— Not tested</t>
        </is>
      </c>
    </row>
    <row r="10">
      <c r="A10" s="6" t="n">
        <v>9</v>
      </c>
      <c r="B10" s="6" t="inlineStr">
        <is>
          <t>1 — Strategies</t>
        </is>
      </c>
      <c r="C10" s="6" t="n">
        <v>2</v>
      </c>
      <c r="D10" s="6" t="inlineStr">
        <is>
          <t>Strategy Bank — Controls &amp; Empty States</t>
        </is>
      </c>
      <c r="E10" s="7" t="inlineStr">
        <is>
          <t>Normal</t>
        </is>
      </c>
      <c r="F10" s="7" t="inlineStr">
        <is>
          <t>P1</t>
        </is>
      </c>
      <c r="G10" s="7" t="inlineStr">
        <is>
          <t>Search partial strategy name.</t>
        </is>
      </c>
      <c r="H10" s="7" t="inlineStr">
        <is>
          <t>e.g. 'mom'</t>
        </is>
      </c>
      <c r="I10" s="7" t="inlineStr">
        <is>
          <t>Only matching strategies shown.</t>
        </is>
      </c>
      <c r="J10" s="7" t="inlineStr">
        <is>
          <t>— Not tested</t>
        </is>
      </c>
      <c r="K10" s="7" t="inlineStr">
        <is>
          <t>— Not tested</t>
        </is>
      </c>
      <c r="L10" s="7" t="inlineStr">
        <is>
          <t>— Not tested</t>
        </is>
      </c>
    </row>
    <row r="11">
      <c r="A11" s="6" t="n">
        <v>10</v>
      </c>
      <c r="B11" s="6" t="inlineStr">
        <is>
          <t>1 — Strategies</t>
        </is>
      </c>
      <c r="C11" s="6" t="n">
        <v>2</v>
      </c>
      <c r="D11" s="6" t="inlineStr">
        <is>
          <t>Strategy Bank — Controls &amp; Empty States</t>
        </is>
      </c>
      <c r="E11" s="7" t="inlineStr">
        <is>
          <t>Normal</t>
        </is>
      </c>
      <c r="F11" s="7" t="inlineStr">
        <is>
          <t>P1</t>
        </is>
      </c>
      <c r="G11" s="7" t="inlineStr">
        <is>
          <t>Search by tag text.</t>
        </is>
      </c>
      <c r="H11" s="7" t="inlineStr">
        <is>
          <t>e.g. 'Scalping'</t>
        </is>
      </c>
      <c r="I11" s="7" t="inlineStr">
        <is>
          <t>Strategies with that tag appear.</t>
        </is>
      </c>
      <c r="J11" s="7" t="inlineStr">
        <is>
          <t>— Not tested</t>
        </is>
      </c>
      <c r="K11" s="7" t="inlineStr">
        <is>
          <t>— Not tested</t>
        </is>
      </c>
      <c r="L11" s="7" t="inlineStr">
        <is>
          <t>— Not tested</t>
        </is>
      </c>
    </row>
    <row r="12">
      <c r="A12" s="6" t="n">
        <v>11</v>
      </c>
      <c r="B12" s="6" t="inlineStr">
        <is>
          <t>1 — Strategies</t>
        </is>
      </c>
      <c r="C12" s="6" t="n">
        <v>2</v>
      </c>
      <c r="D12" s="6" t="inlineStr">
        <is>
          <t>Strategy Bank — Controls &amp; Empty States</t>
        </is>
      </c>
      <c r="E12" s="7" t="inlineStr">
        <is>
          <t>Normal</t>
        </is>
      </c>
      <c r="F12" s="7" t="inlineStr">
        <is>
          <t>P1</t>
        </is>
      </c>
      <c r="G12" s="7" t="inlineStr">
        <is>
          <t>Search gibberish.</t>
        </is>
      </c>
      <c r="H12" s="7" t="inlineStr">
        <is>
          <t>zzzznotfound</t>
        </is>
      </c>
      <c r="I12" s="7" t="inlineStr">
        <is>
          <t>Empty/no-match message; no crash.</t>
        </is>
      </c>
      <c r="J12" s="7" t="inlineStr">
        <is>
          <t>— Not tested</t>
        </is>
      </c>
      <c r="K12" s="7" t="inlineStr">
        <is>
          <t>— Not tested</t>
        </is>
      </c>
      <c r="L12" s="7" t="inlineStr">
        <is>
          <t>— Not tested</t>
        </is>
      </c>
    </row>
    <row r="13">
      <c r="A13" s="6" t="n">
        <v>12</v>
      </c>
      <c r="B13" s="6" t="inlineStr">
        <is>
          <t>1 — Strategies</t>
        </is>
      </c>
      <c r="C13" s="6" t="n">
        <v>2</v>
      </c>
      <c r="D13" s="6" t="inlineStr">
        <is>
          <t>Strategy Bank — Controls &amp; Empty States</t>
        </is>
      </c>
      <c r="E13" s="7" t="inlineStr">
        <is>
          <t>Normal</t>
        </is>
      </c>
      <c r="F13" s="7" t="inlineStr">
        <is>
          <t>P2</t>
        </is>
      </c>
      <c r="G13" s="7" t="inlineStr">
        <is>
          <t>Clear search with ×.</t>
        </is>
      </c>
      <c r="H13" s="7" t="inlineStr">
        <is>
          <t>—</t>
        </is>
      </c>
      <c r="I13" s="7" t="inlineStr">
        <is>
          <t>Full list restored.</t>
        </is>
      </c>
      <c r="J13" s="7" t="inlineStr">
        <is>
          <t>— Not tested</t>
        </is>
      </c>
      <c r="K13" s="7" t="inlineStr">
        <is>
          <t>— Not tested</t>
        </is>
      </c>
      <c r="L13" s="7" t="inlineStr">
        <is>
          <t>— Not tested</t>
        </is>
      </c>
    </row>
    <row r="14">
      <c r="A14" s="6" t="n">
        <v>13</v>
      </c>
      <c r="B14" s="6" t="inlineStr">
        <is>
          <t>1 — Strategies</t>
        </is>
      </c>
      <c r="C14" s="6" t="n">
        <v>2</v>
      </c>
      <c r="D14" s="6" t="inlineStr">
        <is>
          <t>Strategy Bank — Controls &amp; Empty States</t>
        </is>
      </c>
      <c r="E14" s="7" t="inlineStr">
        <is>
          <t>Edge</t>
        </is>
      </c>
      <c r="F14" s="7" t="inlineStr">
        <is>
          <t>P2</t>
        </is>
      </c>
      <c r="G14" s="7" t="inlineStr">
        <is>
          <t>Search with 1 character.</t>
        </is>
      </c>
      <c r="H14" s="7" t="inlineStr">
        <is>
          <t>a</t>
        </is>
      </c>
      <c r="I14" s="7" t="inlineStr">
        <is>
          <t>Filter applies or shows all if too short.</t>
        </is>
      </c>
      <c r="J14" s="7" t="inlineStr">
        <is>
          <t>— Not tested</t>
        </is>
      </c>
      <c r="K14" s="7" t="inlineStr">
        <is>
          <t>— Not tested</t>
        </is>
      </c>
      <c r="L14" s="7" t="inlineStr">
        <is>
          <t>— Not tested</t>
        </is>
      </c>
    </row>
    <row r="15">
      <c r="A15" s="6" t="n">
        <v>14</v>
      </c>
      <c r="B15" s="6" t="inlineStr">
        <is>
          <t>1 — Strategies</t>
        </is>
      </c>
      <c r="C15" s="6" t="n">
        <v>2</v>
      </c>
      <c r="D15" s="6" t="inlineStr">
        <is>
          <t>Strategy Bank — Controls &amp; Empty States</t>
        </is>
      </c>
      <c r="E15" s="7" t="inlineStr">
        <is>
          <t>Edge</t>
        </is>
      </c>
      <c r="F15" s="7" t="inlineStr">
        <is>
          <t>P2</t>
        </is>
      </c>
      <c r="G15" s="7" t="inlineStr">
        <is>
          <t>Search with 100+ characters.</t>
        </is>
      </c>
      <c r="H15" s="7" t="inlineStr">
        <is>
          <t>long string</t>
        </is>
      </c>
      <c r="I15" s="7" t="inlineStr">
        <is>
          <t>Input capped or handled; no freeze.</t>
        </is>
      </c>
      <c r="J15" s="7" t="inlineStr">
        <is>
          <t>— Not tested</t>
        </is>
      </c>
      <c r="K15" s="7" t="inlineStr">
        <is>
          <t>— Not tested</t>
        </is>
      </c>
      <c r="L15" s="7" t="inlineStr">
        <is>
          <t>— Not tested</t>
        </is>
      </c>
    </row>
    <row r="16">
      <c r="A16" s="6" t="n">
        <v>15</v>
      </c>
      <c r="B16" s="6" t="inlineStr">
        <is>
          <t>1 — Strategies</t>
        </is>
      </c>
      <c r="C16" s="6" t="n">
        <v>2</v>
      </c>
      <c r="D16" s="6" t="inlineStr">
        <is>
          <t>Strategy Bank — Controls &amp; Empty States</t>
        </is>
      </c>
      <c r="E16" s="7" t="inlineStr">
        <is>
          <t>Edge</t>
        </is>
      </c>
      <c r="F16" s="7" t="inlineStr">
        <is>
          <t>P0</t>
        </is>
      </c>
      <c r="G16" s="7" t="inlineStr">
        <is>
          <t>Search special characters.</t>
        </is>
      </c>
      <c r="H16" s="7" t="inlineStr">
        <is>
          <t>&lt;script&gt;, ', "</t>
        </is>
      </c>
      <c r="I16" s="7" t="inlineStr">
        <is>
          <t>No script execution; safe display.</t>
        </is>
      </c>
      <c r="J16" s="7" t="inlineStr">
        <is>
          <t>— Not tested</t>
        </is>
      </c>
      <c r="K16" s="7" t="inlineStr">
        <is>
          <t>— Not tested</t>
        </is>
      </c>
      <c r="L16" s="7" t="inlineStr">
        <is>
          <t>— Not tested</t>
        </is>
      </c>
    </row>
    <row r="17">
      <c r="A17" s="6" t="n">
        <v>16</v>
      </c>
      <c r="B17" s="6" t="inlineStr">
        <is>
          <t>1 — Strategies</t>
        </is>
      </c>
      <c r="C17" s="6" t="n">
        <v>2</v>
      </c>
      <c r="D17" s="6" t="inlineStr">
        <is>
          <t>Strategy Bank — Controls &amp; Empty States</t>
        </is>
      </c>
      <c r="E17" s="7" t="inlineStr">
        <is>
          <t>Edge</t>
        </is>
      </c>
      <c r="F17" s="7" t="inlineStr">
        <is>
          <t>P2</t>
        </is>
      </c>
      <c r="G17" s="7" t="inlineStr">
        <is>
          <t>Search Arabic/Unicode.</t>
        </is>
      </c>
      <c r="H17" s="7" t="inlineStr">
        <is>
          <t>استراتيجية</t>
        </is>
      </c>
      <c r="I17" s="7" t="inlineStr">
        <is>
          <t>Filter works or safely shows none.</t>
        </is>
      </c>
      <c r="J17" s="7" t="inlineStr">
        <is>
          <t>— Not tested</t>
        </is>
      </c>
      <c r="K17" s="7" t="inlineStr">
        <is>
          <t>— Not tested</t>
        </is>
      </c>
      <c r="L17" s="7" t="inlineStr">
        <is>
          <t>— Not tested</t>
        </is>
      </c>
    </row>
    <row r="18">
      <c r="A18" s="6" t="n">
        <v>17</v>
      </c>
      <c r="B18" s="6" t="inlineStr">
        <is>
          <t>1 — Strategies</t>
        </is>
      </c>
      <c r="C18" s="6" t="n">
        <v>2</v>
      </c>
      <c r="D18" s="6" t="inlineStr">
        <is>
          <t>Strategy Bank — Controls &amp; Empty States</t>
        </is>
      </c>
      <c r="E18" s="7" t="inlineStr">
        <is>
          <t>Edge</t>
        </is>
      </c>
      <c r="F18" s="7" t="inlineStr">
        <is>
          <t>P2</t>
        </is>
      </c>
      <c r="G18" s="7" t="inlineStr">
        <is>
          <t>Rapidly toggle Cards ↔ Rows 10 times.</t>
        </is>
      </c>
      <c r="H18" s="7" t="inlineStr">
        <is>
          <t>—</t>
        </is>
      </c>
      <c r="I18" s="7" t="inlineStr">
        <is>
          <t>No duplicate cards or layout break.</t>
        </is>
      </c>
      <c r="J18" s="7" t="inlineStr">
        <is>
          <t>— Not tested</t>
        </is>
      </c>
      <c r="K18" s="7" t="inlineStr">
        <is>
          <t>— Not tested</t>
        </is>
      </c>
      <c r="L18" s="7" t="inlineStr">
        <is>
          <t>— Not tested</t>
        </is>
      </c>
    </row>
    <row r="19">
      <c r="A19" s="6" t="n">
        <v>18</v>
      </c>
      <c r="B19" s="6" t="inlineStr">
        <is>
          <t>1 — Strategies</t>
        </is>
      </c>
      <c r="C19" s="6" t="n">
        <v>3</v>
      </c>
      <c r="D19" s="6" t="inlineStr">
        <is>
          <t>Strategy Bank — Card/Row Content &amp; Visuals</t>
        </is>
      </c>
      <c r="E19" s="7" t="inlineStr">
        <is>
          <t>Structure</t>
        </is>
      </c>
      <c r="F19" s="7" t="inlineStr">
        <is>
          <t>P1</t>
        </is>
      </c>
      <c r="G19" s="7" t="inlineStr">
        <is>
          <t>Verify card shows: icon/emoji, name, description snippet.</t>
        </is>
      </c>
      <c r="H19" s="7" t="inlineStr">
        <is>
          <t>—</t>
        </is>
      </c>
      <c r="I19" s="7" t="inlineStr">
        <is>
          <t>All zones render.</t>
        </is>
      </c>
      <c r="J19" s="7" t="inlineStr">
        <is>
          <t>— Not tested</t>
        </is>
      </c>
      <c r="K19" s="7" t="inlineStr">
        <is>
          <t>— Not tested</t>
        </is>
      </c>
      <c r="L19" s="7" t="inlineStr">
        <is>
          <t>— Not tested</t>
        </is>
      </c>
    </row>
    <row r="20">
      <c r="A20" s="6" t="n">
        <v>19</v>
      </c>
      <c r="B20" s="6" t="inlineStr">
        <is>
          <t>1 — Strategies</t>
        </is>
      </c>
      <c r="C20" s="6" t="n">
        <v>3</v>
      </c>
      <c r="D20" s="6" t="inlineStr">
        <is>
          <t>Strategy Bank — Card/Row Content &amp; Visuals</t>
        </is>
      </c>
      <c r="E20" s="7" t="inlineStr">
        <is>
          <t>Structure</t>
        </is>
      </c>
      <c r="F20" s="7" t="inlineStr">
        <is>
          <t>P1</t>
        </is>
      </c>
      <c r="G20" s="7" t="inlineStr">
        <is>
          <t>Verify markets, timeframes, tags pills.</t>
        </is>
      </c>
      <c r="H20" s="7" t="inlineStr">
        <is>
          <t>—</t>
        </is>
      </c>
      <c r="I20" s="7" t="inlineStr">
        <is>
          <t>Pills truncate gracefully if many.</t>
        </is>
      </c>
      <c r="J20" s="7" t="inlineStr">
        <is>
          <t>— Not tested</t>
        </is>
      </c>
      <c r="K20" s="7" t="inlineStr">
        <is>
          <t>— Not tested</t>
        </is>
      </c>
      <c r="L20" s="7" t="inlineStr">
        <is>
          <t>— Not tested</t>
        </is>
      </c>
    </row>
    <row r="21">
      <c r="A21" s="6" t="n">
        <v>20</v>
      </c>
      <c r="B21" s="6" t="inlineStr">
        <is>
          <t>1 — Strategies</t>
        </is>
      </c>
      <c r="C21" s="6" t="n">
        <v>3</v>
      </c>
      <c r="D21" s="6" t="inlineStr">
        <is>
          <t>Strategy Bank — Card/Row Content &amp; Visuals</t>
        </is>
      </c>
      <c r="E21" s="7" t="inlineStr">
        <is>
          <t>Structure</t>
        </is>
      </c>
      <c r="F21" s="7" t="inlineStr">
        <is>
          <t>P1</t>
        </is>
      </c>
      <c r="G21" s="7" t="inlineStr">
        <is>
          <t>Verify backtest metrics: sessions, P&amp;L, win rate.</t>
        </is>
      </c>
      <c r="H21" s="7" t="inlineStr">
        <is>
          <t>—</t>
        </is>
      </c>
      <c r="I21" s="7" t="inlineStr">
        <is>
          <t>Numbers or em-dash when N/A.</t>
        </is>
      </c>
      <c r="J21" s="7" t="inlineStr">
        <is>
          <t>— Not tested</t>
        </is>
      </c>
      <c r="K21" s="7" t="inlineStr">
        <is>
          <t>— Not tested</t>
        </is>
      </c>
      <c r="L21" s="7" t="inlineStr">
        <is>
          <t>— Not tested</t>
        </is>
      </c>
    </row>
    <row r="22">
      <c r="A22" s="6" t="n">
        <v>21</v>
      </c>
      <c r="B22" s="6" t="inlineStr">
        <is>
          <t>1 — Strategies</t>
        </is>
      </c>
      <c r="C22" s="6" t="n">
        <v>3</v>
      </c>
      <c r="D22" s="6" t="inlineStr">
        <is>
          <t>Strategy Bank — Card/Row Content &amp; Visuals</t>
        </is>
      </c>
      <c r="E22" s="7" t="inlineStr">
        <is>
          <t>Structure</t>
        </is>
      </c>
      <c r="F22" s="7" t="inlineStr">
        <is>
          <t>P2</t>
        </is>
      </c>
      <c r="G22" s="7" t="inlineStr">
        <is>
          <t>Hover card.</t>
        </is>
      </c>
      <c r="H22" s="7" t="inlineStr">
        <is>
          <t>—</t>
        </is>
      </c>
      <c r="I22" s="7" t="inlineStr">
        <is>
          <t>Border/shadow highlight.</t>
        </is>
      </c>
      <c r="J22" s="7" t="inlineStr">
        <is>
          <t>— Not tested</t>
        </is>
      </c>
      <c r="K22" s="7" t="inlineStr">
        <is>
          <t>— Not tested</t>
        </is>
      </c>
      <c r="L22" s="7" t="inlineStr">
        <is>
          <t>— Not tested</t>
        </is>
      </c>
    </row>
    <row r="23">
      <c r="A23" s="6" t="n">
        <v>22</v>
      </c>
      <c r="B23" s="6" t="inlineStr">
        <is>
          <t>1 — Strategies</t>
        </is>
      </c>
      <c r="C23" s="6" t="n">
        <v>3</v>
      </c>
      <c r="D23" s="6" t="inlineStr">
        <is>
          <t>Strategy Bank — Card/Row Content &amp; Visuals</t>
        </is>
      </c>
      <c r="E23" s="7" t="inlineStr">
        <is>
          <t>Structure</t>
        </is>
      </c>
      <c r="F23" s="7" t="inlineStr">
        <is>
          <t>P1</t>
        </is>
      </c>
      <c r="G23" s="7" t="inlineStr">
        <is>
          <t>Compare card at min vs max content (long name, 10 tags).</t>
        </is>
      </c>
      <c r="H23" s="7" t="inlineStr">
        <is>
          <t>2 strategies</t>
        </is>
      </c>
      <c r="I23" s="7" t="inlineStr">
        <is>
          <t>No overflow breaking card height (342px).</t>
        </is>
      </c>
      <c r="J23" s="7" t="inlineStr">
        <is>
          <t>— Not tested</t>
        </is>
      </c>
      <c r="K23" s="7" t="inlineStr">
        <is>
          <t>— Not tested</t>
        </is>
      </c>
      <c r="L23" s="7" t="inlineStr">
        <is>
          <t>— Not tested</t>
        </is>
      </c>
    </row>
    <row r="24">
      <c r="A24" s="6" t="n">
        <v>23</v>
      </c>
      <c r="B24" s="6" t="inlineStr">
        <is>
          <t>1 — Strategies</t>
        </is>
      </c>
      <c r="C24" s="6" t="n">
        <v>3</v>
      </c>
      <c r="D24" s="6" t="inlineStr">
        <is>
          <t>Strategy Bank — Card/Row Content &amp; Visuals</t>
        </is>
      </c>
      <c r="E24" s="7" t="inlineStr">
        <is>
          <t>Logic</t>
        </is>
      </c>
      <c r="F24" s="7" t="inlineStr">
        <is>
          <t>P0</t>
        </is>
      </c>
      <c r="G24" s="7" t="inlineStr">
        <is>
          <t>Double-click owned strategy.</t>
        </is>
      </c>
      <c r="H24" s="7" t="inlineStr">
        <is>
          <t>—</t>
        </is>
      </c>
      <c r="I24" s="7" t="inlineStr">
        <is>
          <t>Edit builder opens with data.</t>
        </is>
      </c>
      <c r="J24" s="7" t="inlineStr">
        <is>
          <t>— Not tested</t>
        </is>
      </c>
      <c r="K24" s="7" t="inlineStr">
        <is>
          <t>— Not tested</t>
        </is>
      </c>
      <c r="L24" s="7" t="inlineStr">
        <is>
          <t>— Not tested</t>
        </is>
      </c>
    </row>
    <row r="25">
      <c r="A25" s="6" t="n">
        <v>24</v>
      </c>
      <c r="B25" s="6" t="inlineStr">
        <is>
          <t>1 — Strategies</t>
        </is>
      </c>
      <c r="C25" s="6" t="n">
        <v>3</v>
      </c>
      <c r="D25" s="6" t="inlineStr">
        <is>
          <t>Strategy Bank — Card/Row Content &amp; Visuals</t>
        </is>
      </c>
      <c r="E25" s="7" t="inlineStr">
        <is>
          <t>Logic</t>
        </is>
      </c>
      <c r="F25" s="7" t="inlineStr">
        <is>
          <t>P0</t>
        </is>
      </c>
      <c r="G25" s="7" t="inlineStr">
        <is>
          <t>Open ⋯ menu → New Session.</t>
        </is>
      </c>
      <c r="H25" s="7" t="inlineStr">
        <is>
          <t>—</t>
        </is>
      </c>
      <c r="I25" s="7" t="inlineStr">
        <is>
          <t>Session modal; strategy pre-linked.</t>
        </is>
      </c>
      <c r="J25" s="7" t="inlineStr">
        <is>
          <t>— Not tested</t>
        </is>
      </c>
      <c r="K25" s="7" t="inlineStr">
        <is>
          <t>— Not tested</t>
        </is>
      </c>
      <c r="L25" s="7" t="inlineStr">
        <is>
          <t>— Not tested</t>
        </is>
      </c>
    </row>
    <row r="26">
      <c r="A26" s="6" t="n">
        <v>25</v>
      </c>
      <c r="B26" s="6" t="inlineStr">
        <is>
          <t>1 — Strategies</t>
        </is>
      </c>
      <c r="C26" s="6" t="n">
        <v>3</v>
      </c>
      <c r="D26" s="6" t="inlineStr">
        <is>
          <t>Strategy Bank — Card/Row Content &amp; Visuals</t>
        </is>
      </c>
      <c r="E26" s="7" t="inlineStr">
        <is>
          <t>Logic</t>
        </is>
      </c>
      <c r="F26" s="7" t="inlineStr">
        <is>
          <t>P1</t>
        </is>
      </c>
      <c r="G26" s="7" t="inlineStr">
        <is>
          <t>Open ⋯ → Dashboard.</t>
        </is>
      </c>
      <c r="H26" s="7" t="inlineStr">
        <is>
          <t>—</t>
        </is>
      </c>
      <c r="I26" s="7" t="inlineStr">
        <is>
          <t>Strategy performance view.</t>
        </is>
      </c>
      <c r="J26" s="7" t="inlineStr">
        <is>
          <t>— Not tested</t>
        </is>
      </c>
      <c r="K26" s="7" t="inlineStr">
        <is>
          <t>— Not tested</t>
        </is>
      </c>
      <c r="L26" s="7" t="inlineStr">
        <is>
          <t>— Not tested</t>
        </is>
      </c>
    </row>
    <row r="27">
      <c r="A27" s="6" t="n">
        <v>26</v>
      </c>
      <c r="B27" s="6" t="inlineStr">
        <is>
          <t>1 — Strategies</t>
        </is>
      </c>
      <c r="C27" s="6" t="n">
        <v>3</v>
      </c>
      <c r="D27" s="6" t="inlineStr">
        <is>
          <t>Strategy Bank — Card/Row Content &amp; Visuals</t>
        </is>
      </c>
      <c r="E27" s="7" t="inlineStr">
        <is>
          <t>Logic</t>
        </is>
      </c>
      <c r="F27" s="7" t="inlineStr">
        <is>
          <t>P0</t>
        </is>
      </c>
      <c r="G27" s="7" t="inlineStr">
        <is>
          <t>Open ⋯ → Edit.</t>
        </is>
      </c>
      <c r="H27" s="7" t="inlineStr">
        <is>
          <t>—</t>
        </is>
      </c>
      <c r="I27" s="7" t="inlineStr">
        <is>
          <t>Builder edit mode.</t>
        </is>
      </c>
      <c r="J27" s="7" t="inlineStr">
        <is>
          <t>— Not tested</t>
        </is>
      </c>
      <c r="K27" s="7" t="inlineStr">
        <is>
          <t>— Not tested</t>
        </is>
      </c>
      <c r="L27" s="7" t="inlineStr">
        <is>
          <t>— Not tested</t>
        </is>
      </c>
    </row>
    <row r="28">
      <c r="A28" s="6" t="n">
        <v>27</v>
      </c>
      <c r="B28" s="6" t="inlineStr">
        <is>
          <t>1 — Strategies</t>
        </is>
      </c>
      <c r="C28" s="6" t="n">
        <v>3</v>
      </c>
      <c r="D28" s="6" t="inlineStr">
        <is>
          <t>Strategy Bank — Card/Row Content &amp; Visuals</t>
        </is>
      </c>
      <c r="E28" s="7" t="inlineStr">
        <is>
          <t>Logic</t>
        </is>
      </c>
      <c r="F28" s="7" t="inlineStr">
        <is>
          <t>P1</t>
        </is>
      </c>
      <c r="G28" s="7" t="inlineStr">
        <is>
          <t>Open ⋯ → Copy.</t>
        </is>
      </c>
      <c r="H28" s="7" t="inlineStr">
        <is>
          <t>—</t>
        </is>
      </c>
      <c r="I28" s="7" t="inlineStr">
        <is>
          <t>Duplicate with (copy) suffix.</t>
        </is>
      </c>
      <c r="J28" s="7" t="inlineStr">
        <is>
          <t>— Not tested</t>
        </is>
      </c>
      <c r="K28" s="7" t="inlineStr">
        <is>
          <t>— Not tested</t>
        </is>
      </c>
      <c r="L28" s="7" t="inlineStr">
        <is>
          <t>— Not tested</t>
        </is>
      </c>
    </row>
    <row r="29">
      <c r="A29" s="6" t="n">
        <v>28</v>
      </c>
      <c r="B29" s="6" t="inlineStr">
        <is>
          <t>1 — Strategies</t>
        </is>
      </c>
      <c r="C29" s="6" t="n">
        <v>3</v>
      </c>
      <c r="D29" s="6" t="inlineStr">
        <is>
          <t>Strategy Bank — Card/Row Content &amp; Visuals</t>
        </is>
      </c>
      <c r="E29" s="7" t="inlineStr">
        <is>
          <t>Logic</t>
        </is>
      </c>
      <c r="F29" s="7" t="inlineStr">
        <is>
          <t>P1</t>
        </is>
      </c>
      <c r="G29" s="7" t="inlineStr">
        <is>
          <t>Open ⋯ → Delete → Cancel.</t>
        </is>
      </c>
      <c r="H29" s="7" t="inlineStr">
        <is>
          <t>—</t>
        </is>
      </c>
      <c r="I29" s="7" t="inlineStr">
        <is>
          <t>Strategy remains.</t>
        </is>
      </c>
      <c r="J29" s="7" t="inlineStr">
        <is>
          <t>— Not tested</t>
        </is>
      </c>
      <c r="K29" s="7" t="inlineStr">
        <is>
          <t>— Not tested</t>
        </is>
      </c>
      <c r="L29" s="7" t="inlineStr">
        <is>
          <t>— Not tested</t>
        </is>
      </c>
    </row>
    <row r="30">
      <c r="A30" s="6" t="n">
        <v>29</v>
      </c>
      <c r="B30" s="6" t="inlineStr">
        <is>
          <t>1 — Strategies</t>
        </is>
      </c>
      <c r="C30" s="6" t="n">
        <v>3</v>
      </c>
      <c r="D30" s="6" t="inlineStr">
        <is>
          <t>Strategy Bank — Card/Row Content &amp; Visuals</t>
        </is>
      </c>
      <c r="E30" s="7" t="inlineStr">
        <is>
          <t>Logic</t>
        </is>
      </c>
      <c r="F30" s="7" t="inlineStr">
        <is>
          <t>P1</t>
        </is>
      </c>
      <c r="G30" s="7" t="inlineStr">
        <is>
          <t>Open ⋯ → Delete → Confirm.</t>
        </is>
      </c>
      <c r="H30" s="7" t="inlineStr">
        <is>
          <t>—</t>
        </is>
      </c>
      <c r="I30" s="7" t="inlineStr">
        <is>
          <t>Strategy removed.</t>
        </is>
      </c>
      <c r="J30" s="7" t="inlineStr">
        <is>
          <t>— Not tested</t>
        </is>
      </c>
      <c r="K30" s="7" t="inlineStr">
        <is>
          <t>— Not tested</t>
        </is>
      </c>
      <c r="L30" s="7" t="inlineStr">
        <is>
          <t>— Not tested</t>
        </is>
      </c>
    </row>
    <row r="31">
      <c r="A31" s="6" t="n">
        <v>30</v>
      </c>
      <c r="B31" s="6" t="inlineStr">
        <is>
          <t>1 — Strategies</t>
        </is>
      </c>
      <c r="C31" s="6" t="n">
        <v>3</v>
      </c>
      <c r="D31" s="6" t="inlineStr">
        <is>
          <t>Strategy Bank — Card/Row Content &amp; Visuals</t>
        </is>
      </c>
      <c r="E31" s="7" t="inlineStr">
        <is>
          <t>Logic</t>
        </is>
      </c>
      <c r="F31" s="7" t="inlineStr">
        <is>
          <t>P1</t>
        </is>
      </c>
      <c r="G31" s="7" t="inlineStr">
        <is>
          <t>Repeat all ⋯ actions in Rows view.</t>
        </is>
      </c>
      <c r="H31" s="7" t="inlineStr">
        <is>
          <t>—</t>
        </is>
      </c>
      <c r="I31" s="7" t="inlineStr">
        <is>
          <t>Parity with Cards.</t>
        </is>
      </c>
      <c r="J31" s="7" t="inlineStr">
        <is>
          <t>— Not tested</t>
        </is>
      </c>
      <c r="K31" s="7" t="inlineStr">
        <is>
          <t>— Not tested</t>
        </is>
      </c>
      <c r="L31" s="7" t="inlineStr">
        <is>
          <t>— Not tested</t>
        </is>
      </c>
    </row>
    <row r="32">
      <c r="A32" s="6" t="n">
        <v>31</v>
      </c>
      <c r="B32" s="6" t="inlineStr">
        <is>
          <t>1 — Strategies</t>
        </is>
      </c>
      <c r="C32" s="6" t="n">
        <v>4</v>
      </c>
      <c r="D32" s="6" t="inlineStr">
        <is>
          <t>Template Picker</t>
        </is>
      </c>
      <c r="E32" s="7" t="inlineStr">
        <is>
          <t>Normal</t>
        </is>
      </c>
      <c r="F32" s="7" t="inlineStr">
        <is>
          <t>P1</t>
        </is>
      </c>
      <c r="G32" s="7" t="inlineStr">
        <is>
          <t>Build Strategy → pick each visible template one by one.</t>
        </is>
      </c>
      <c r="H32" s="7" t="inlineStr">
        <is>
          <t>all templates</t>
        </is>
      </c>
      <c r="I32" s="7" t="inlineStr">
        <is>
          <t>Each opens builder with distinct flow/groups.</t>
        </is>
      </c>
      <c r="J32" s="7" t="inlineStr">
        <is>
          <t>— Not tested</t>
        </is>
      </c>
      <c r="K32" s="7" t="inlineStr">
        <is>
          <t>— Not tested</t>
        </is>
      </c>
      <c r="L32" s="7" t="inlineStr">
        <is>
          <t>— Not tested</t>
        </is>
      </c>
    </row>
    <row r="33">
      <c r="A33" s="6" t="n">
        <v>32</v>
      </c>
      <c r="B33" s="6" t="inlineStr">
        <is>
          <t>1 — Strategies</t>
        </is>
      </c>
      <c r="C33" s="6" t="n">
        <v>4</v>
      </c>
      <c r="D33" s="6" t="inlineStr">
        <is>
          <t>Template Picker</t>
        </is>
      </c>
      <c r="E33" s="7" t="inlineStr">
        <is>
          <t>Normal</t>
        </is>
      </c>
      <c r="F33" s="7" t="inlineStr">
        <is>
          <t>P1</t>
        </is>
      </c>
      <c r="G33" s="7" t="inlineStr">
        <is>
          <t>Cancel template picker.</t>
        </is>
      </c>
      <c r="H33" s="7" t="inlineStr">
        <is>
          <t>—</t>
        </is>
      </c>
      <c r="I33" s="7" t="inlineStr">
        <is>
          <t>Returns to bank without new strategy.</t>
        </is>
      </c>
      <c r="J33" s="7" t="inlineStr">
        <is>
          <t>— Not tested</t>
        </is>
      </c>
      <c r="K33" s="7" t="inlineStr">
        <is>
          <t>— Not tested</t>
        </is>
      </c>
      <c r="L33" s="7" t="inlineStr">
        <is>
          <t>— Not tested</t>
        </is>
      </c>
    </row>
    <row r="34">
      <c r="A34" s="6" t="n">
        <v>33</v>
      </c>
      <c r="B34" s="6" t="inlineStr">
        <is>
          <t>1 — Strategies</t>
        </is>
      </c>
      <c r="C34" s="6" t="n">
        <v>4</v>
      </c>
      <c r="D34" s="6" t="inlineStr">
        <is>
          <t>Template Picker</t>
        </is>
      </c>
      <c r="E34" s="7" t="inlineStr">
        <is>
          <t>Normal</t>
        </is>
      </c>
      <c r="F34" s="7" t="inlineStr">
        <is>
          <t>P0</t>
        </is>
      </c>
      <c r="G34" s="7" t="inlineStr">
        <is>
          <t>Pick template → verify Step 2 canvas has groups/conditions.</t>
        </is>
      </c>
      <c r="H34" s="7" t="inlineStr">
        <is>
          <t>any template</t>
        </is>
      </c>
      <c r="I34" s="7" t="inlineStr">
        <is>
          <t>Pre-filled nodes visible.</t>
        </is>
      </c>
      <c r="J34" s="7" t="inlineStr">
        <is>
          <t>— Not tested</t>
        </is>
      </c>
      <c r="K34" s="7" t="inlineStr">
        <is>
          <t>— Not tested</t>
        </is>
      </c>
      <c r="L34" s="7" t="inlineStr">
        <is>
          <t>— Not tested</t>
        </is>
      </c>
    </row>
    <row r="35">
      <c r="A35" s="6" t="n">
        <v>34</v>
      </c>
      <c r="B35" s="6" t="inlineStr">
        <is>
          <t>1 — Strategies</t>
        </is>
      </c>
      <c r="C35" s="6" t="n">
        <v>4</v>
      </c>
      <c r="D35" s="6" t="inlineStr">
        <is>
          <t>Template Picker</t>
        </is>
      </c>
      <c r="E35" s="7" t="inlineStr">
        <is>
          <t>Edge</t>
        </is>
      </c>
      <c r="F35" s="7" t="inlineStr">
        <is>
          <t>P1</t>
        </is>
      </c>
      <c r="G35" s="7" t="inlineStr">
        <is>
          <t>Pick template → change name → save → verify not confused with template preview.</t>
        </is>
      </c>
      <c r="H35" s="7" t="inlineStr">
        <is>
          <t>—</t>
        </is>
      </c>
      <c r="I35" s="7" t="inlineStr">
        <is>
          <t>Saved as user strategy in My Strategies.</t>
        </is>
      </c>
      <c r="J35" s="7" t="inlineStr">
        <is>
          <t>— Not tested</t>
        </is>
      </c>
      <c r="K35" s="7" t="inlineStr">
        <is>
          <t>— Not tested</t>
        </is>
      </c>
      <c r="L35" s="7" t="inlineStr">
        <is>
          <t>— Not tested</t>
        </is>
      </c>
    </row>
    <row r="36">
      <c r="A36" s="6" t="n">
        <v>35</v>
      </c>
      <c r="B36" s="6" t="inlineStr">
        <is>
          <t>1 — Strategies</t>
        </is>
      </c>
      <c r="C36" s="6" t="n">
        <v>4</v>
      </c>
      <c r="D36" s="6" t="inlineStr">
        <is>
          <t>Template Picker</t>
        </is>
      </c>
      <c r="E36" s="7" t="inlineStr">
        <is>
          <t>Edge</t>
        </is>
      </c>
      <c r="F36" s="7" t="inlineStr">
        <is>
          <t>P2</t>
        </is>
      </c>
      <c r="G36" s="7" t="inlineStr">
        <is>
          <t>Re-open TEMPLATES from builder mid-edit.</t>
        </is>
      </c>
      <c r="H36" s="7" t="inlineStr">
        <is>
          <t>—</t>
        </is>
      </c>
      <c r="I36" s="7" t="inlineStr">
        <is>
          <t>Picker opens; confirm overwrite behavior if switching template.</t>
        </is>
      </c>
      <c r="J36" s="7" t="inlineStr">
        <is>
          <t>— Not tested</t>
        </is>
      </c>
      <c r="K36" s="7" t="inlineStr">
        <is>
          <t>— Not tested</t>
        </is>
      </c>
      <c r="L36" s="7" t="inlineStr">
        <is>
          <t>— Not tested</t>
        </is>
      </c>
    </row>
    <row r="37">
      <c r="A37" s="6" t="n">
        <v>36</v>
      </c>
      <c r="B37" s="6" t="inlineStr">
        <is>
          <t>1 — Strategies</t>
        </is>
      </c>
      <c r="C37" s="6" t="n">
        <v>5</v>
      </c>
      <c r="D37" s="6" t="inlineStr">
        <is>
          <t>Strategy Builder — Wizard Shell</t>
        </is>
      </c>
      <c r="E37" s="7" t="inlineStr">
        <is>
          <t>Structure</t>
        </is>
      </c>
      <c r="F37" s="7" t="inlineStr">
        <is>
          <t>P2</t>
        </is>
      </c>
      <c r="G37" s="7" t="inlineStr">
        <is>
          <t>Verify modal size ~1400px max width, ~90vh height.</t>
        </is>
      </c>
      <c r="H37" s="7" t="inlineStr">
        <is>
          <t>—</t>
        </is>
      </c>
      <c r="I37" s="7" t="inlineStr">
        <is>
          <t>Centered; scroll inside content.</t>
        </is>
      </c>
      <c r="J37" s="7" t="inlineStr">
        <is>
          <t>— Not tested</t>
        </is>
      </c>
      <c r="K37" s="7" t="inlineStr">
        <is>
          <t>— Not tested</t>
        </is>
      </c>
      <c r="L37" s="7" t="inlineStr">
        <is>
          <t>— Not tested</t>
        </is>
      </c>
    </row>
    <row r="38">
      <c r="A38" s="6" t="n">
        <v>37</v>
      </c>
      <c r="B38" s="6" t="inlineStr">
        <is>
          <t>1 — Strategies</t>
        </is>
      </c>
      <c r="C38" s="6" t="n">
        <v>5</v>
      </c>
      <c r="D38" s="6" t="inlineStr">
        <is>
          <t>Strategy Builder — Wizard Shell</t>
        </is>
      </c>
      <c r="E38" s="7" t="inlineStr">
        <is>
          <t>Structure</t>
        </is>
      </c>
      <c r="F38" s="7" t="inlineStr">
        <is>
          <t>P0</t>
        </is>
      </c>
      <c r="G38" s="7" t="inlineStr">
        <is>
          <t>Verify 4 step tabs with hints.</t>
        </is>
      </c>
      <c r="H38" s="7" t="inlineStr">
        <is>
          <t>—</t>
        </is>
      </c>
      <c r="I38" s="7" t="inlineStr">
        <is>
          <t>General Info, Strategy Flow, Trade Tags, Review.</t>
        </is>
      </c>
      <c r="J38" s="7" t="inlineStr">
        <is>
          <t>— Not tested</t>
        </is>
      </c>
      <c r="K38" s="7" t="inlineStr">
        <is>
          <t>— Not tested</t>
        </is>
      </c>
      <c r="L38" s="7" t="inlineStr">
        <is>
          <t>— Not tested</t>
        </is>
      </c>
    </row>
    <row r="39">
      <c r="A39" s="6" t="n">
        <v>38</v>
      </c>
      <c r="B39" s="6" t="inlineStr">
        <is>
          <t>1 — Strategies</t>
        </is>
      </c>
      <c r="C39" s="6" t="n">
        <v>5</v>
      </c>
      <c r="D39" s="6" t="inlineStr">
        <is>
          <t>Strategy Builder — Wizard Shell</t>
        </is>
      </c>
      <c r="E39" s="7" t="inlineStr">
        <is>
          <t>Structure</t>
        </is>
      </c>
      <c r="F39" s="7" t="inlineStr">
        <is>
          <t>P0</t>
        </is>
      </c>
      <c r="G39" s="7" t="inlineStr">
        <is>
          <t>Verify footer: Back, Next, Save Strategy (step 4).</t>
        </is>
      </c>
      <c r="H39" s="7" t="inlineStr">
        <is>
          <t>—</t>
        </is>
      </c>
      <c r="I39" s="7" t="inlineStr">
        <is>
          <t>Buttons visible per step.</t>
        </is>
      </c>
      <c r="J39" s="7" t="inlineStr">
        <is>
          <t>— Not tested</t>
        </is>
      </c>
      <c r="K39" s="7" t="inlineStr">
        <is>
          <t>— Not tested</t>
        </is>
      </c>
      <c r="L39" s="7" t="inlineStr">
        <is>
          <t>— Not tested</t>
        </is>
      </c>
    </row>
    <row r="40">
      <c r="A40" s="6" t="n">
        <v>39</v>
      </c>
      <c r="B40" s="6" t="inlineStr">
        <is>
          <t>1 — Strategies</t>
        </is>
      </c>
      <c r="C40" s="6" t="n">
        <v>5</v>
      </c>
      <c r="D40" s="6" t="inlineStr">
        <is>
          <t>Strategy Builder — Wizard Shell</t>
        </is>
      </c>
      <c r="E40" s="7" t="inlineStr">
        <is>
          <t>Structure</t>
        </is>
      </c>
      <c r="F40" s="7" t="inlineStr">
        <is>
          <t>P1</t>
        </is>
      </c>
      <c r="G40" s="7" t="inlineStr">
        <is>
          <t>Click × close.</t>
        </is>
      </c>
      <c r="H40" s="7" t="inlineStr">
        <is>
          <t>—</t>
        </is>
      </c>
      <c r="I40" s="7" t="inlineStr">
        <is>
          <t>Modal closes.</t>
        </is>
      </c>
      <c r="J40" s="7" t="inlineStr">
        <is>
          <t>— Not tested</t>
        </is>
      </c>
      <c r="K40" s="7" t="inlineStr">
        <is>
          <t>— Not tested</t>
        </is>
      </c>
      <c r="L40" s="7" t="inlineStr">
        <is>
          <t>— Not tested</t>
        </is>
      </c>
    </row>
    <row r="41">
      <c r="A41" s="6" t="n">
        <v>40</v>
      </c>
      <c r="B41" s="6" t="inlineStr">
        <is>
          <t>1 — Strategies</t>
        </is>
      </c>
      <c r="C41" s="6" t="n">
        <v>5</v>
      </c>
      <c r="D41" s="6" t="inlineStr">
        <is>
          <t>Strategy Builder — Wizard Shell</t>
        </is>
      </c>
      <c r="E41" s="7" t="inlineStr">
        <is>
          <t>Structure</t>
        </is>
      </c>
      <c r="F41" s="7" t="inlineStr">
        <is>
          <t>P2</t>
        </is>
      </c>
      <c r="G41" s="7" t="inlineStr">
        <is>
          <t>Click dark backdrop.</t>
        </is>
      </c>
      <c r="H41" s="7" t="inlineStr">
        <is>
          <t>—</t>
        </is>
      </c>
      <c r="I41" s="7" t="inlineStr">
        <is>
          <t>Modal stays open (backdrop ignored).</t>
        </is>
      </c>
      <c r="J41" s="7" t="inlineStr">
        <is>
          <t>— Not tested</t>
        </is>
      </c>
      <c r="K41" s="7" t="inlineStr">
        <is>
          <t>— Not tested</t>
        </is>
      </c>
      <c r="L41" s="7" t="inlineStr">
        <is>
          <t>— Not tested</t>
        </is>
      </c>
    </row>
    <row r="42">
      <c r="A42" s="6" t="n">
        <v>41</v>
      </c>
      <c r="B42" s="6" t="inlineStr">
        <is>
          <t>1 — Strategies</t>
        </is>
      </c>
      <c r="C42" s="6" t="n">
        <v>5</v>
      </c>
      <c r="D42" s="6" t="inlineStr">
        <is>
          <t>Strategy Builder — Wizard Shell</t>
        </is>
      </c>
      <c r="E42" s="7" t="inlineStr">
        <is>
          <t>Logic</t>
        </is>
      </c>
      <c r="F42" s="7" t="inlineStr">
        <is>
          <t>P0</t>
        </is>
      </c>
      <c r="G42" s="7" t="inlineStr">
        <is>
          <t>Step 1 empty → click Next.</t>
        </is>
      </c>
      <c r="H42" s="7" t="inlineStr">
        <is>
          <t>—</t>
        </is>
      </c>
      <c r="I42" s="7" t="inlineStr">
        <is>
          <t>Blocked; red hints: name, markets, timeframes.</t>
        </is>
      </c>
      <c r="J42" s="7" t="inlineStr">
        <is>
          <t>— Not tested</t>
        </is>
      </c>
      <c r="K42" s="7" t="inlineStr">
        <is>
          <t>— Not tested</t>
        </is>
      </c>
      <c r="L42" s="7" t="inlineStr">
        <is>
          <t>— Not tested</t>
        </is>
      </c>
    </row>
    <row r="43">
      <c r="A43" s="6" t="n">
        <v>42</v>
      </c>
      <c r="B43" s="6" t="inlineStr">
        <is>
          <t>1 — Strategies</t>
        </is>
      </c>
      <c r="C43" s="6" t="n">
        <v>5</v>
      </c>
      <c r="D43" s="6" t="inlineStr">
        <is>
          <t>Strategy Builder — Wizard Shell</t>
        </is>
      </c>
      <c r="E43" s="7" t="inlineStr">
        <is>
          <t>Logic</t>
        </is>
      </c>
      <c r="F43" s="7" t="inlineStr">
        <is>
          <t>P1</t>
        </is>
      </c>
      <c r="G43" s="7" t="inlineStr">
        <is>
          <t>Step 1 valid → jump to Step 4 tab.</t>
        </is>
      </c>
      <c r="H43" s="7" t="inlineStr">
        <is>
          <t>—</t>
        </is>
      </c>
      <c r="I43" s="7" t="inlineStr">
        <is>
          <t>Allowed when step 1 complete.</t>
        </is>
      </c>
      <c r="J43" s="7" t="inlineStr">
        <is>
          <t>— Not tested</t>
        </is>
      </c>
      <c r="K43" s="7" t="inlineStr">
        <is>
          <t>— Not tested</t>
        </is>
      </c>
      <c r="L43" s="7" t="inlineStr">
        <is>
          <t>— Not tested</t>
        </is>
      </c>
    </row>
    <row r="44">
      <c r="A44" s="6" t="n">
        <v>43</v>
      </c>
      <c r="B44" s="6" t="inlineStr">
        <is>
          <t>1 — Strategies</t>
        </is>
      </c>
      <c r="C44" s="6" t="n">
        <v>5</v>
      </c>
      <c r="D44" s="6" t="inlineStr">
        <is>
          <t>Strategy Builder — Wizard Shell</t>
        </is>
      </c>
      <c r="E44" s="7" t="inlineStr">
        <is>
          <t>Logic</t>
        </is>
      </c>
      <c r="F44" s="7" t="inlineStr">
        <is>
          <t>P0</t>
        </is>
      </c>
      <c r="G44" s="7" t="inlineStr">
        <is>
          <t>Step 1 invalid → click Step 3 tab.</t>
        </is>
      </c>
      <c r="H44" s="7" t="inlineStr">
        <is>
          <t>—</t>
        </is>
      </c>
      <c r="I44" s="7" t="inlineStr">
        <is>
          <t>Forced back to Step 1.</t>
        </is>
      </c>
      <c r="J44" s="7" t="inlineStr">
        <is>
          <t>— Not tested</t>
        </is>
      </c>
      <c r="K44" s="7" t="inlineStr">
        <is>
          <t>— Not tested</t>
        </is>
      </c>
      <c r="L44" s="7" t="inlineStr">
        <is>
          <t>— Not tested</t>
        </is>
      </c>
    </row>
    <row r="45">
      <c r="A45" s="6" t="n">
        <v>44</v>
      </c>
      <c r="B45" s="6" t="inlineStr">
        <is>
          <t>1 — Strategies</t>
        </is>
      </c>
      <c r="C45" s="6" t="n">
        <v>5</v>
      </c>
      <c r="D45" s="6" t="inlineStr">
        <is>
          <t>Strategy Builder — Wizard Shell</t>
        </is>
      </c>
      <c r="E45" s="7" t="inlineStr">
        <is>
          <t>Logic</t>
        </is>
      </c>
      <c r="F45" s="7" t="inlineStr">
        <is>
          <t>P0</t>
        </is>
      </c>
      <c r="G45" s="7" t="inlineStr">
        <is>
          <t>Back from Step 3 → Step 2 → data preserved.</t>
        </is>
      </c>
      <c r="H45" s="7" t="inlineStr">
        <is>
          <t>—</t>
        </is>
      </c>
      <c r="I45" s="7" t="inlineStr">
        <is>
          <t>No data loss.</t>
        </is>
      </c>
      <c r="J45" s="7" t="inlineStr">
        <is>
          <t>— Not tested</t>
        </is>
      </c>
      <c r="K45" s="7" t="inlineStr">
        <is>
          <t>— Not tested</t>
        </is>
      </c>
      <c r="L45" s="7" t="inlineStr">
        <is>
          <t>— Not tested</t>
        </is>
      </c>
    </row>
    <row r="46">
      <c r="A46" s="6" t="n">
        <v>45</v>
      </c>
      <c r="B46" s="6" t="inlineStr">
        <is>
          <t>1 — Strategies</t>
        </is>
      </c>
      <c r="C46" s="6" t="n">
        <v>6</v>
      </c>
      <c r="D46" s="6" t="inlineStr">
        <is>
          <t>Builder Step 1 — Strategy Name</t>
        </is>
      </c>
      <c r="E46" s="7" t="inlineStr">
        <is>
          <t>Input matrix</t>
        </is>
      </c>
      <c r="F46" s="7" t="inlineStr">
        <is>
          <t>P0</t>
        </is>
      </c>
      <c r="G46" s="7" t="inlineStr">
        <is>
          <t>Leave name empty → Next.</t>
        </is>
      </c>
      <c r="H46" s="7" t="inlineStr"/>
      <c r="I46" s="7" t="inlineStr">
        <is>
          <t>Blocked; red border on name field.</t>
        </is>
      </c>
      <c r="J46" s="7" t="inlineStr">
        <is>
          <t>— Not tested</t>
        </is>
      </c>
      <c r="K46" s="7" t="inlineStr">
        <is>
          <t>— Not tested</t>
        </is>
      </c>
      <c r="L46" s="7" t="inlineStr">
        <is>
          <t>— Not tested</t>
        </is>
      </c>
    </row>
    <row r="47">
      <c r="A47" s="6" t="n">
        <v>46</v>
      </c>
      <c r="B47" s="6" t="inlineStr">
        <is>
          <t>1 — Strategies</t>
        </is>
      </c>
      <c r="C47" s="6" t="n">
        <v>6</v>
      </c>
      <c r="D47" s="6" t="inlineStr">
        <is>
          <t>Builder Step 1 — Strategy Name</t>
        </is>
      </c>
      <c r="E47" s="7" t="inlineStr">
        <is>
          <t>Input matrix</t>
        </is>
      </c>
      <c r="F47" s="7" t="inlineStr">
        <is>
          <t>P1</t>
        </is>
      </c>
      <c r="G47" s="7" t="inlineStr">
        <is>
          <t>Name = 1 character.</t>
        </is>
      </c>
      <c r="H47" s="7" t="inlineStr">
        <is>
          <t>A</t>
        </is>
      </c>
      <c r="I47" s="7" t="inlineStr">
        <is>
          <t>Accepts; can proceed if markets+TF set.</t>
        </is>
      </c>
      <c r="J47" s="7" t="inlineStr">
        <is>
          <t>— Not tested</t>
        </is>
      </c>
      <c r="K47" s="7" t="inlineStr">
        <is>
          <t>— Not tested</t>
        </is>
      </c>
      <c r="L47" s="7" t="inlineStr">
        <is>
          <t>— Not tested</t>
        </is>
      </c>
    </row>
    <row r="48">
      <c r="A48" s="6" t="n">
        <v>47</v>
      </c>
      <c r="B48" s="6" t="inlineStr">
        <is>
          <t>1 — Strategies</t>
        </is>
      </c>
      <c r="C48" s="6" t="n">
        <v>6</v>
      </c>
      <c r="D48" s="6" t="inlineStr">
        <is>
          <t>Builder Step 1 — Strategy Name</t>
        </is>
      </c>
      <c r="E48" s="7" t="inlineStr">
        <is>
          <t>Input matrix</t>
        </is>
      </c>
      <c r="F48" s="7" t="inlineStr">
        <is>
          <t>P1</t>
        </is>
      </c>
      <c r="G48" s="7" t="inlineStr">
        <is>
          <t>Name = 80 characters (max).</t>
        </is>
      </c>
      <c r="H48" s="7" t="inlineStr">
        <is>
          <t>80×A</t>
        </is>
      </c>
      <c r="I48" s="7" t="inlineStr">
        <is>
          <t>Accepts; no truncate in input.</t>
        </is>
      </c>
      <c r="J48" s="7" t="inlineStr">
        <is>
          <t>— Not tested</t>
        </is>
      </c>
      <c r="K48" s="7" t="inlineStr">
        <is>
          <t>— Not tested</t>
        </is>
      </c>
      <c r="L48" s="7" t="inlineStr">
        <is>
          <t>— Not tested</t>
        </is>
      </c>
    </row>
    <row r="49">
      <c r="A49" s="6" t="n">
        <v>48</v>
      </c>
      <c r="B49" s="6" t="inlineStr">
        <is>
          <t>1 — Strategies</t>
        </is>
      </c>
      <c r="C49" s="6" t="n">
        <v>6</v>
      </c>
      <c r="D49" s="6" t="inlineStr">
        <is>
          <t>Builder Step 1 — Strategy Name</t>
        </is>
      </c>
      <c r="E49" s="7" t="inlineStr">
        <is>
          <t>Input matrix</t>
        </is>
      </c>
      <c r="F49" s="7" t="inlineStr">
        <is>
          <t>P1</t>
        </is>
      </c>
      <c r="G49" s="7" t="inlineStr">
        <is>
          <t>Name = 81+ characters.</t>
        </is>
      </c>
      <c r="H49" s="7" t="inlineStr">
        <is>
          <t>81×A</t>
        </is>
      </c>
      <c r="I49" s="7" t="inlineStr">
        <is>
          <t>Input stops at 80 (maxLength).</t>
        </is>
      </c>
      <c r="J49" s="7" t="inlineStr">
        <is>
          <t>— Not tested</t>
        </is>
      </c>
      <c r="K49" s="7" t="inlineStr">
        <is>
          <t>— Not tested</t>
        </is>
      </c>
      <c r="L49" s="7" t="inlineStr">
        <is>
          <t>— Not tested</t>
        </is>
      </c>
    </row>
    <row r="50">
      <c r="A50" s="6" t="n">
        <v>49</v>
      </c>
      <c r="B50" s="6" t="inlineStr">
        <is>
          <t>1 — Strategies</t>
        </is>
      </c>
      <c r="C50" s="6" t="n">
        <v>6</v>
      </c>
      <c r="D50" s="6" t="inlineStr">
        <is>
          <t>Builder Step 1 — Strategy Name</t>
        </is>
      </c>
      <c r="E50" s="7" t="inlineStr">
        <is>
          <t>Input matrix</t>
        </is>
      </c>
      <c r="F50" s="7" t="inlineStr">
        <is>
          <t>P0</t>
        </is>
      </c>
      <c r="G50" s="7" t="inlineStr">
        <is>
          <t>Name = only spaces.</t>
        </is>
      </c>
      <c r="H50" s="7" t="inlineStr">
        <is>
          <t>   </t>
        </is>
      </c>
      <c r="I50" s="7" t="inlineStr">
        <is>
          <t>Treated as empty; blocked.</t>
        </is>
      </c>
      <c r="J50" s="7" t="inlineStr">
        <is>
          <t>— Not tested</t>
        </is>
      </c>
      <c r="K50" s="7" t="inlineStr">
        <is>
          <t>— Not tested</t>
        </is>
      </c>
      <c r="L50" s="7" t="inlineStr">
        <is>
          <t>— Not tested</t>
        </is>
      </c>
    </row>
    <row r="51">
      <c r="A51" s="6" t="n">
        <v>50</v>
      </c>
      <c r="B51" s="6" t="inlineStr">
        <is>
          <t>1 — Strategies</t>
        </is>
      </c>
      <c r="C51" s="6" t="n">
        <v>6</v>
      </c>
      <c r="D51" s="6" t="inlineStr">
        <is>
          <t>Builder Step 1 — Strategy Name</t>
        </is>
      </c>
      <c r="E51" s="7" t="inlineStr">
        <is>
          <t>Input matrix</t>
        </is>
      </c>
      <c r="F51" s="7" t="inlineStr">
        <is>
          <t>P2</t>
        </is>
      </c>
      <c r="G51" s="7" t="inlineStr">
        <is>
          <t>Name with emoji inline.</t>
        </is>
      </c>
      <c r="H51" s="7" t="inlineStr">
        <is>
          <t>Rocket 🚀 Scalp</t>
        </is>
      </c>
      <c r="I51" s="7" t="inlineStr">
        <is>
          <t>Displays correctly on card.</t>
        </is>
      </c>
      <c r="J51" s="7" t="inlineStr">
        <is>
          <t>— Not tested</t>
        </is>
      </c>
      <c r="K51" s="7" t="inlineStr">
        <is>
          <t>— Not tested</t>
        </is>
      </c>
      <c r="L51" s="7" t="inlineStr">
        <is>
          <t>— Not tested</t>
        </is>
      </c>
    </row>
    <row r="52">
      <c r="A52" s="6" t="n">
        <v>51</v>
      </c>
      <c r="B52" s="6" t="inlineStr">
        <is>
          <t>1 — Strategies</t>
        </is>
      </c>
      <c r="C52" s="6" t="n">
        <v>6</v>
      </c>
      <c r="D52" s="6" t="inlineStr">
        <is>
          <t>Builder Step 1 — Strategy Name</t>
        </is>
      </c>
      <c r="E52" s="7" t="inlineStr">
        <is>
          <t>Input matrix</t>
        </is>
      </c>
      <c r="F52" s="7" t="inlineStr">
        <is>
          <t>P0</t>
        </is>
      </c>
      <c r="G52" s="7" t="inlineStr">
        <is>
          <t>Name special chars.</t>
        </is>
      </c>
      <c r="H52" s="7" t="inlineStr">
        <is>
          <t>Test &lt;&gt;&amp;"'</t>
        </is>
      </c>
      <c r="I52" s="7" t="inlineStr">
        <is>
          <t>Displays literally; no HTML injection.</t>
        </is>
      </c>
      <c r="J52" s="7" t="inlineStr">
        <is>
          <t>— Not tested</t>
        </is>
      </c>
      <c r="K52" s="7" t="inlineStr">
        <is>
          <t>— Not tested</t>
        </is>
      </c>
      <c r="L52" s="7" t="inlineStr">
        <is>
          <t>— Not tested</t>
        </is>
      </c>
    </row>
    <row r="53">
      <c r="A53" s="6" t="n">
        <v>52</v>
      </c>
      <c r="B53" s="6" t="inlineStr">
        <is>
          <t>1 — Strategies</t>
        </is>
      </c>
      <c r="C53" s="6" t="n">
        <v>6</v>
      </c>
      <c r="D53" s="6" t="inlineStr">
        <is>
          <t>Builder Step 1 — Strategy Name</t>
        </is>
      </c>
      <c r="E53" s="7" t="inlineStr">
        <is>
          <t>Input matrix</t>
        </is>
      </c>
      <c r="F53" s="7" t="inlineStr">
        <is>
          <t>P2</t>
        </is>
      </c>
      <c r="G53" s="7" t="inlineStr">
        <is>
          <t>Name Arabic.</t>
        </is>
      </c>
      <c r="H53" s="7" t="inlineStr">
        <is>
          <t>استراتيجية الذهب</t>
        </is>
      </c>
      <c r="I53" s="7" t="inlineStr">
        <is>
          <t>RTL displays correctly.</t>
        </is>
      </c>
      <c r="J53" s="7" t="inlineStr">
        <is>
          <t>— Not tested</t>
        </is>
      </c>
      <c r="K53" s="7" t="inlineStr">
        <is>
          <t>— Not tested</t>
        </is>
      </c>
      <c r="L53" s="7" t="inlineStr">
        <is>
          <t>— Not tested</t>
        </is>
      </c>
    </row>
    <row r="54">
      <c r="A54" s="6" t="n">
        <v>53</v>
      </c>
      <c r="B54" s="6" t="inlineStr">
        <is>
          <t>1 — Strategies</t>
        </is>
      </c>
      <c r="C54" s="6" t="n">
        <v>6</v>
      </c>
      <c r="D54" s="6" t="inlineStr">
        <is>
          <t>Builder Step 1 — Strategy Name</t>
        </is>
      </c>
      <c r="E54" s="7" t="inlineStr">
        <is>
          <t>Input matrix</t>
        </is>
      </c>
      <c r="F54" s="7" t="inlineStr">
        <is>
          <t>P2</t>
        </is>
      </c>
      <c r="G54" s="7" t="inlineStr">
        <is>
          <t>Name duplicate of existing.</t>
        </is>
      </c>
      <c r="H54" s="7" t="inlineStr">
        <is>
          <t>same as another</t>
        </is>
      </c>
      <c r="I54" s="7" t="inlineStr">
        <is>
          <t>Allowed (duplicates OK) or warn — note behavior.</t>
        </is>
      </c>
      <c r="J54" s="7" t="inlineStr">
        <is>
          <t>— Not tested</t>
        </is>
      </c>
      <c r="K54" s="7" t="inlineStr">
        <is>
          <t>— Not tested</t>
        </is>
      </c>
      <c r="L54" s="7" t="inlineStr">
        <is>
          <t>— Not tested</t>
        </is>
      </c>
    </row>
    <row r="55">
      <c r="A55" s="6" t="n">
        <v>54</v>
      </c>
      <c r="B55" s="6" t="inlineStr">
        <is>
          <t>1 — Strategies</t>
        </is>
      </c>
      <c r="C55" s="6" t="n">
        <v>6</v>
      </c>
      <c r="D55" s="6" t="inlineStr">
        <is>
          <t>Builder Step 1 — Description &amp; Emoji</t>
        </is>
      </c>
      <c r="E55" s="7" t="inlineStr">
        <is>
          <t>Input matrix</t>
        </is>
      </c>
      <c r="F55" s="7" t="inlineStr">
        <is>
          <t>P1</t>
        </is>
      </c>
      <c r="G55" s="7" t="inlineStr">
        <is>
          <t>Description empty.</t>
        </is>
      </c>
      <c r="H55" s="7" t="inlineStr">
        <is>
          <t>—</t>
        </is>
      </c>
      <c r="I55" s="7" t="inlineStr">
        <is>
          <t>Allowed; optional field.</t>
        </is>
      </c>
      <c r="J55" s="7" t="inlineStr">
        <is>
          <t>— Not tested</t>
        </is>
      </c>
      <c r="K55" s="7" t="inlineStr">
        <is>
          <t>— Not tested</t>
        </is>
      </c>
      <c r="L55" s="7" t="inlineStr">
        <is>
          <t>— Not tested</t>
        </is>
      </c>
    </row>
    <row r="56">
      <c r="A56" s="6" t="n">
        <v>55</v>
      </c>
      <c r="B56" s="6" t="inlineStr">
        <is>
          <t>1 — Strategies</t>
        </is>
      </c>
      <c r="C56" s="6" t="n">
        <v>6</v>
      </c>
      <c r="D56" s="6" t="inlineStr">
        <is>
          <t>Builder Step 1 — Description &amp; Emoji</t>
        </is>
      </c>
      <c r="E56" s="7" t="inlineStr">
        <is>
          <t>Input matrix</t>
        </is>
      </c>
      <c r="F56" s="7" t="inlineStr">
        <is>
          <t>P1</t>
        </is>
      </c>
      <c r="G56" s="7" t="inlineStr">
        <is>
          <t>Description 500 chars (max).</t>
        </is>
      </c>
      <c r="H56" s="7" t="inlineStr">
        <is>
          <t>500 chars</t>
        </is>
      </c>
      <c r="I56" s="7" t="inlineStr">
        <is>
          <t>Counter shows 500/500; accepts.</t>
        </is>
      </c>
      <c r="J56" s="7" t="inlineStr">
        <is>
          <t>— Not tested</t>
        </is>
      </c>
      <c r="K56" s="7" t="inlineStr">
        <is>
          <t>— Not tested</t>
        </is>
      </c>
      <c r="L56" s="7" t="inlineStr">
        <is>
          <t>— Not tested</t>
        </is>
      </c>
    </row>
    <row r="57">
      <c r="A57" s="6" t="n">
        <v>56</v>
      </c>
      <c r="B57" s="6" t="inlineStr">
        <is>
          <t>1 — Strategies</t>
        </is>
      </c>
      <c r="C57" s="6" t="n">
        <v>6</v>
      </c>
      <c r="D57" s="6" t="inlineStr">
        <is>
          <t>Builder Step 1 — Description &amp; Emoji</t>
        </is>
      </c>
      <c r="E57" s="7" t="inlineStr">
        <is>
          <t>Input matrix</t>
        </is>
      </c>
      <c r="F57" s="7" t="inlineStr">
        <is>
          <t>P1</t>
        </is>
      </c>
      <c r="G57" s="7" t="inlineStr">
        <is>
          <t>Description 501+ chars.</t>
        </is>
      </c>
      <c r="H57" s="7" t="inlineStr">
        <is>
          <t>paste 501</t>
        </is>
      </c>
      <c r="I57" s="7" t="inlineStr">
        <is>
          <t>Blocked at 500 maxLength.</t>
        </is>
      </c>
      <c r="J57" s="7" t="inlineStr">
        <is>
          <t>— Not tested</t>
        </is>
      </c>
      <c r="K57" s="7" t="inlineStr">
        <is>
          <t>— Not tested</t>
        </is>
      </c>
      <c r="L57" s="7" t="inlineStr">
        <is>
          <t>— Not tested</t>
        </is>
      </c>
    </row>
    <row r="58">
      <c r="A58" s="6" t="n">
        <v>57</v>
      </c>
      <c r="B58" s="6" t="inlineStr">
        <is>
          <t>1 — Strategies</t>
        </is>
      </c>
      <c r="C58" s="6" t="n">
        <v>6</v>
      </c>
      <c r="D58" s="6" t="inlineStr">
        <is>
          <t>Builder Step 1 — Description &amp; Emoji</t>
        </is>
      </c>
      <c r="E58" s="7" t="inlineStr">
        <is>
          <t>Input matrix</t>
        </is>
      </c>
      <c r="F58" s="7" t="inlineStr">
        <is>
          <t>P2</t>
        </is>
      </c>
      <c r="G58" s="7" t="inlineStr">
        <is>
          <t>Description with newlines.</t>
        </is>
      </c>
      <c r="H58" s="7" t="inlineStr">
        <is>
          <t>line1\nline2</t>
        </is>
      </c>
      <c r="I58" s="7" t="inlineStr">
        <is>
          <t>Multiline displays on card/review.</t>
        </is>
      </c>
      <c r="J58" s="7" t="inlineStr">
        <is>
          <t>— Not tested</t>
        </is>
      </c>
      <c r="K58" s="7" t="inlineStr">
        <is>
          <t>— Not tested</t>
        </is>
      </c>
      <c r="L58" s="7" t="inlineStr">
        <is>
          <t>— Not tested</t>
        </is>
      </c>
    </row>
    <row r="59">
      <c r="A59" s="6" t="n">
        <v>58</v>
      </c>
      <c r="B59" s="6" t="inlineStr">
        <is>
          <t>1 — Strategies</t>
        </is>
      </c>
      <c r="C59" s="6" t="n">
        <v>6</v>
      </c>
      <c r="D59" s="6" t="inlineStr">
        <is>
          <t>Builder Step 1 — Description &amp; Emoji</t>
        </is>
      </c>
      <c r="E59" s="7" t="inlineStr">
        <is>
          <t>Input matrix</t>
        </is>
      </c>
      <c r="F59" s="7" t="inlineStr">
        <is>
          <t>P1</t>
        </is>
      </c>
      <c r="G59" s="7" t="inlineStr">
        <is>
          <t>Open emoji picker → browse Finance category.</t>
        </is>
      </c>
      <c r="H59" s="7" t="inlineStr">
        <is>
          <t>—</t>
        </is>
      </c>
      <c r="I59" s="7" t="inlineStr">
        <is>
          <t>Emoji grid loads.</t>
        </is>
      </c>
      <c r="J59" s="7" t="inlineStr">
        <is>
          <t>— Not tested</t>
        </is>
      </c>
      <c r="K59" s="7" t="inlineStr">
        <is>
          <t>— Not tested</t>
        </is>
      </c>
      <c r="L59" s="7" t="inlineStr">
        <is>
          <t>— Not tested</t>
        </is>
      </c>
    </row>
    <row r="60">
      <c r="A60" s="6" t="n">
        <v>59</v>
      </c>
      <c r="B60" s="6" t="inlineStr">
        <is>
          <t>1 — Strategies</t>
        </is>
      </c>
      <c r="C60" s="6" t="n">
        <v>6</v>
      </c>
      <c r="D60" s="6" t="inlineStr">
        <is>
          <t>Builder Step 1 — Description &amp; Emoji</t>
        </is>
      </c>
      <c r="E60" s="7" t="inlineStr">
        <is>
          <t>Input matrix</t>
        </is>
      </c>
      <c r="F60" s="7" t="inlineStr">
        <is>
          <t>P2</t>
        </is>
      </c>
      <c r="G60" s="7" t="inlineStr">
        <is>
          <t>Search emoji picker.</t>
        </is>
      </c>
      <c r="H60" s="7" t="inlineStr">
        <is>
          <t>chart</t>
        </is>
      </c>
      <c r="I60" s="7" t="inlineStr">
        <is>
          <t>Filters emoji list.</t>
        </is>
      </c>
      <c r="J60" s="7" t="inlineStr">
        <is>
          <t>— Not tested</t>
        </is>
      </c>
      <c r="K60" s="7" t="inlineStr">
        <is>
          <t>— Not tested</t>
        </is>
      </c>
      <c r="L60" s="7" t="inlineStr">
        <is>
          <t>— Not tested</t>
        </is>
      </c>
    </row>
    <row r="61">
      <c r="A61" s="6" t="n">
        <v>60</v>
      </c>
      <c r="B61" s="6" t="inlineStr">
        <is>
          <t>1 — Strategies</t>
        </is>
      </c>
      <c r="C61" s="6" t="n">
        <v>6</v>
      </c>
      <c r="D61" s="6" t="inlineStr">
        <is>
          <t>Builder Step 1 — Description &amp; Emoji</t>
        </is>
      </c>
      <c r="E61" s="7" t="inlineStr">
        <is>
          <t>Input matrix</t>
        </is>
      </c>
      <c r="F61" s="7" t="inlineStr">
        <is>
          <t>P1</t>
        </is>
      </c>
      <c r="G61" s="7" t="inlineStr">
        <is>
          <t>Select emoji → appears on button.</t>
        </is>
      </c>
      <c r="H61" s="7" t="inlineStr">
        <is>
          <t>📈</t>
        </is>
      </c>
      <c r="I61" s="7" t="inlineStr">
        <is>
          <t>Emoji shows on picker button.</t>
        </is>
      </c>
      <c r="J61" s="7" t="inlineStr">
        <is>
          <t>— Not tested</t>
        </is>
      </c>
      <c r="K61" s="7" t="inlineStr">
        <is>
          <t>— Not tested</t>
        </is>
      </c>
      <c r="L61" s="7" t="inlineStr">
        <is>
          <t>— Not tested</t>
        </is>
      </c>
    </row>
    <row r="62">
      <c r="A62" s="6" t="n">
        <v>61</v>
      </c>
      <c r="B62" s="6" t="inlineStr">
        <is>
          <t>1 — Strategies</t>
        </is>
      </c>
      <c r="C62" s="6" t="n">
        <v>6</v>
      </c>
      <c r="D62" s="6" t="inlineStr">
        <is>
          <t>Builder Step 1 — Description &amp; Emoji</t>
        </is>
      </c>
      <c r="E62" s="7" t="inlineStr">
        <is>
          <t>Input matrix</t>
        </is>
      </c>
      <c r="F62" s="7" t="inlineStr">
        <is>
          <t>P2</t>
        </is>
      </c>
      <c r="G62" s="7" t="inlineStr">
        <is>
          <t>Remove emoji via × on button.</t>
        </is>
      </c>
      <c r="H62" s="7" t="inlineStr">
        <is>
          <t>—</t>
        </is>
      </c>
      <c r="I62" s="7" t="inlineStr">
        <is>
          <t>Emoji clears.</t>
        </is>
      </c>
      <c r="J62" s="7" t="inlineStr">
        <is>
          <t>— Not tested</t>
        </is>
      </c>
      <c r="K62" s="7" t="inlineStr">
        <is>
          <t>— Not tested</t>
        </is>
      </c>
      <c r="L62" s="7" t="inlineStr">
        <is>
          <t>— Not tested</t>
        </is>
      </c>
    </row>
    <row r="63">
      <c r="A63" s="6" t="n">
        <v>62</v>
      </c>
      <c r="B63" s="6" t="inlineStr">
        <is>
          <t>1 — Strategies</t>
        </is>
      </c>
      <c r="C63" s="6" t="n">
        <v>6</v>
      </c>
      <c r="D63" s="6" t="inlineStr">
        <is>
          <t>Builder Step 1 — Description &amp; Emoji</t>
        </is>
      </c>
      <c r="E63" s="7" t="inlineStr">
        <is>
          <t>Input matrix</t>
        </is>
      </c>
      <c r="F63" s="7" t="inlineStr">
        <is>
          <t>P2</t>
        </is>
      </c>
      <c r="G63" s="7" t="inlineStr">
        <is>
          <t>Each emoji category tab.</t>
        </is>
      </c>
      <c r="H63" s="7" t="inlineStr">
        <is>
          <t>9 categories</t>
        </is>
      </c>
      <c r="I63" s="7" t="inlineStr">
        <is>
          <t>All categories have icons.</t>
        </is>
      </c>
      <c r="J63" s="7" t="inlineStr">
        <is>
          <t>— Not tested</t>
        </is>
      </c>
      <c r="K63" s="7" t="inlineStr">
        <is>
          <t>— Not tested</t>
        </is>
      </c>
      <c r="L63" s="7" t="inlineStr">
        <is>
          <t>— Not tested</t>
        </is>
      </c>
    </row>
    <row r="64">
      <c r="A64" s="6" t="n">
        <v>63</v>
      </c>
      <c r="B64" s="6" t="inlineStr">
        <is>
          <t>1 — Strategies</t>
        </is>
      </c>
      <c r="C64" s="6" t="n">
        <v>7</v>
      </c>
      <c r="D64" s="6" t="inlineStr">
        <is>
          <t>Builder Step 1 — Tags</t>
        </is>
      </c>
      <c r="E64" s="7" t="inlineStr">
        <is>
          <t>Input matrix</t>
        </is>
      </c>
      <c r="F64" s="7" t="inlineStr">
        <is>
          <t>P1</t>
        </is>
      </c>
      <c r="G64" s="7" t="inlineStr">
        <is>
          <t>Add 0 tags.</t>
        </is>
      </c>
      <c r="H64" s="7" t="inlineStr">
        <is>
          <t>—</t>
        </is>
      </c>
      <c r="I64" s="7" t="inlineStr">
        <is>
          <t>Allowed.</t>
        </is>
      </c>
      <c r="J64" s="7" t="inlineStr">
        <is>
          <t>— Not tested</t>
        </is>
      </c>
      <c r="K64" s="7" t="inlineStr">
        <is>
          <t>— Not tested</t>
        </is>
      </c>
      <c r="L64" s="7" t="inlineStr">
        <is>
          <t>— Not tested</t>
        </is>
      </c>
    </row>
    <row r="65">
      <c r="A65" s="6" t="n">
        <v>64</v>
      </c>
      <c r="B65" s="6" t="inlineStr">
        <is>
          <t>1 — Strategies</t>
        </is>
      </c>
      <c r="C65" s="6" t="n">
        <v>7</v>
      </c>
      <c r="D65" s="6" t="inlineStr">
        <is>
          <t>Builder Step 1 — Tags</t>
        </is>
      </c>
      <c r="E65" s="7" t="inlineStr">
        <is>
          <t>Input matrix</t>
        </is>
      </c>
      <c r="F65" s="7" t="inlineStr">
        <is>
          <t>P1</t>
        </is>
      </c>
      <c r="G65" s="7" t="inlineStr">
        <is>
          <t>Add 1 tag from library.</t>
        </is>
      </c>
      <c r="H65" s="7" t="inlineStr">
        <is>
          <t>Scalping</t>
        </is>
      </c>
      <c r="I65" s="7" t="inlineStr">
        <is>
          <t>Tag chip appears.</t>
        </is>
      </c>
      <c r="J65" s="7" t="inlineStr">
        <is>
          <t>— Not tested</t>
        </is>
      </c>
      <c r="K65" s="7" t="inlineStr">
        <is>
          <t>— Not tested</t>
        </is>
      </c>
      <c r="L65" s="7" t="inlineStr">
        <is>
          <t>— Not tested</t>
        </is>
      </c>
    </row>
    <row r="66">
      <c r="A66" s="6" t="n">
        <v>65</v>
      </c>
      <c r="B66" s="6" t="inlineStr">
        <is>
          <t>1 — Strategies</t>
        </is>
      </c>
      <c r="C66" s="6" t="n">
        <v>7</v>
      </c>
      <c r="D66" s="6" t="inlineStr">
        <is>
          <t>Builder Step 1 — Tags</t>
        </is>
      </c>
      <c r="E66" s="7" t="inlineStr">
        <is>
          <t>Input matrix</t>
        </is>
      </c>
      <c r="F66" s="7" t="inlineStr">
        <is>
          <t>P1</t>
        </is>
      </c>
      <c r="G66" s="7" t="inlineStr">
        <is>
          <t>Add 10 tags (MAX_TAGS).</t>
        </is>
      </c>
      <c r="H66" s="7" t="inlineStr">
        <is>
          <t>10 distinct</t>
        </is>
      </c>
      <c r="I66" s="7" t="inlineStr">
        <is>
          <t>Counter shows 10/10.</t>
        </is>
      </c>
      <c r="J66" s="7" t="inlineStr">
        <is>
          <t>— Not tested</t>
        </is>
      </c>
      <c r="K66" s="7" t="inlineStr">
        <is>
          <t>— Not tested</t>
        </is>
      </c>
      <c r="L66" s="7" t="inlineStr">
        <is>
          <t>— Not tested</t>
        </is>
      </c>
    </row>
    <row r="67">
      <c r="A67" s="6" t="n">
        <v>66</v>
      </c>
      <c r="B67" s="6" t="inlineStr">
        <is>
          <t>1 — Strategies</t>
        </is>
      </c>
      <c r="C67" s="6" t="n">
        <v>7</v>
      </c>
      <c r="D67" s="6" t="inlineStr">
        <is>
          <t>Builder Step 1 — Tags</t>
        </is>
      </c>
      <c r="E67" s="7" t="inlineStr">
        <is>
          <t>Input matrix</t>
        </is>
      </c>
      <c r="F67" s="7" t="inlineStr">
        <is>
          <t>P0</t>
        </is>
      </c>
      <c r="G67" s="7" t="inlineStr">
        <is>
          <t>Try 11th tag.</t>
        </is>
      </c>
      <c r="H67" s="7" t="inlineStr">
        <is>
          <t>11th tag</t>
        </is>
      </c>
      <c r="I67" s="7" t="inlineStr">
        <is>
          <t>Blocked; opacity/disabled in dropdown.</t>
        </is>
      </c>
      <c r="J67" s="7" t="inlineStr">
        <is>
          <t>— Not tested</t>
        </is>
      </c>
      <c r="K67" s="7" t="inlineStr">
        <is>
          <t>— Not tested</t>
        </is>
      </c>
      <c r="L67" s="7" t="inlineStr">
        <is>
          <t>— Not tested</t>
        </is>
      </c>
    </row>
    <row r="68">
      <c r="A68" s="6" t="n">
        <v>67</v>
      </c>
      <c r="B68" s="6" t="inlineStr">
        <is>
          <t>1 — Strategies</t>
        </is>
      </c>
      <c r="C68" s="6" t="n">
        <v>7</v>
      </c>
      <c r="D68" s="6" t="inlineStr">
        <is>
          <t>Builder Step 1 — Tags</t>
        </is>
      </c>
      <c r="E68" s="7" t="inlineStr">
        <is>
          <t>Input matrix</t>
        </is>
      </c>
      <c r="F68" s="7" t="inlineStr">
        <is>
          <t>P1</t>
        </is>
      </c>
      <c r="G68" s="7" t="inlineStr">
        <is>
          <t>Remove tag via chip ×.</t>
        </is>
      </c>
      <c r="H68" s="7" t="inlineStr">
        <is>
          <t>—</t>
        </is>
      </c>
      <c r="I68" s="7" t="inlineStr">
        <is>
          <t>Tag removed; can add again.</t>
        </is>
      </c>
      <c r="J68" s="7" t="inlineStr">
        <is>
          <t>— Not tested</t>
        </is>
      </c>
      <c r="K68" s="7" t="inlineStr">
        <is>
          <t>— Not tested</t>
        </is>
      </c>
      <c r="L68" s="7" t="inlineStr">
        <is>
          <t>— Not tested</t>
        </is>
      </c>
    </row>
    <row r="69">
      <c r="A69" s="6" t="n">
        <v>68</v>
      </c>
      <c r="B69" s="6" t="inlineStr">
        <is>
          <t>1 — Strategies</t>
        </is>
      </c>
      <c r="C69" s="6" t="n">
        <v>7</v>
      </c>
      <c r="D69" s="6" t="inlineStr">
        <is>
          <t>Builder Step 1 — Tags</t>
        </is>
      </c>
      <c r="E69" s="7" t="inlineStr">
        <is>
          <t>Input matrix</t>
        </is>
      </c>
      <c r="F69" s="7" t="inlineStr">
        <is>
          <t>P1</t>
        </is>
      </c>
      <c r="G69" s="7" t="inlineStr">
        <is>
          <t>Add custom tag via input.</t>
        </is>
      </c>
      <c r="H69" s="7" t="inlineStr">
        <is>
          <t>MyCustomTag</t>
        </is>
      </c>
      <c r="I69" s="7" t="inlineStr">
        <is>
          <t>Custom tag added.</t>
        </is>
      </c>
      <c r="J69" s="7" t="inlineStr">
        <is>
          <t>— Not tested</t>
        </is>
      </c>
      <c r="K69" s="7" t="inlineStr">
        <is>
          <t>— Not tested</t>
        </is>
      </c>
      <c r="L69" s="7" t="inlineStr">
        <is>
          <t>— Not tested</t>
        </is>
      </c>
    </row>
    <row r="70">
      <c r="A70" s="6" t="n">
        <v>69</v>
      </c>
      <c r="B70" s="6" t="inlineStr">
        <is>
          <t>1 — Strategies</t>
        </is>
      </c>
      <c r="C70" s="6" t="n">
        <v>7</v>
      </c>
      <c r="D70" s="6" t="inlineStr">
        <is>
          <t>Builder Step 1 — Tags</t>
        </is>
      </c>
      <c r="E70" s="7" t="inlineStr">
        <is>
          <t>Input matrix</t>
        </is>
      </c>
      <c r="F70" s="7" t="inlineStr">
        <is>
          <t>P2</t>
        </is>
      </c>
      <c r="G70" s="7" t="inlineStr">
        <is>
          <t>Toggle same tag off in dropdown.</t>
        </is>
      </c>
      <c r="H70" s="7" t="inlineStr">
        <is>
          <t>—</t>
        </is>
      </c>
      <c r="I70" s="7" t="inlineStr">
        <is>
          <t>Removed from selection.</t>
        </is>
      </c>
      <c r="J70" s="7" t="inlineStr">
        <is>
          <t>— Not tested</t>
        </is>
      </c>
      <c r="K70" s="7" t="inlineStr">
        <is>
          <t>— Not tested</t>
        </is>
      </c>
      <c r="L70" s="7" t="inlineStr">
        <is>
          <t>— Not tested</t>
        </is>
      </c>
    </row>
    <row r="71">
      <c r="A71" s="6" t="n">
        <v>70</v>
      </c>
      <c r="B71" s="6" t="inlineStr">
        <is>
          <t>1 — Strategies</t>
        </is>
      </c>
      <c r="C71" s="6" t="n">
        <v>7</v>
      </c>
      <c r="D71" s="6" t="inlineStr">
        <is>
          <t>Builder Step 1 — Tags</t>
        </is>
      </c>
      <c r="E71" s="7" t="inlineStr">
        <is>
          <t>Input matrix</t>
        </is>
      </c>
      <c r="F71" s="7" t="inlineStr">
        <is>
          <t>P2</t>
        </is>
      </c>
      <c r="G71" s="7" t="inlineStr">
        <is>
          <t>Duplicate tag click.</t>
        </is>
      </c>
      <c r="H71" s="7" t="inlineStr">
        <is>
          <t>same tag twice</t>
        </is>
      </c>
      <c r="I71" s="7" t="inlineStr">
        <is>
          <t>No duplicate chips.</t>
        </is>
      </c>
      <c r="J71" s="7" t="inlineStr">
        <is>
          <t>— Not tested</t>
        </is>
      </c>
      <c r="K71" s="7" t="inlineStr">
        <is>
          <t>— Not tested</t>
        </is>
      </c>
      <c r="L71" s="7" t="inlineStr">
        <is>
          <t>— Not tested</t>
        </is>
      </c>
    </row>
    <row r="72">
      <c r="A72" s="6" t="n">
        <v>71</v>
      </c>
      <c r="B72" s="6" t="inlineStr">
        <is>
          <t>1 — Strategies</t>
        </is>
      </c>
      <c r="C72" s="6" t="n">
        <v>8</v>
      </c>
      <c r="D72" s="6" t="inlineStr">
        <is>
          <t>Builder Step 1 — Markets &amp; Instruments</t>
        </is>
      </c>
      <c r="E72" s="7" t="inlineStr">
        <is>
          <t>Configuration</t>
        </is>
      </c>
      <c r="F72" s="7" t="inlineStr">
        <is>
          <t>P1</t>
        </is>
      </c>
      <c r="G72" s="7" t="inlineStr">
        <is>
          <t>Select only **Forex** market.</t>
        </is>
      </c>
      <c r="H72" s="7" t="inlineStr">
        <is>
          <t>Forex</t>
        </is>
      </c>
      <c r="I72" s="7" t="inlineStr">
        <is>
          <t>Market chip active; instrument picker filters to Forex symbols.</t>
        </is>
      </c>
      <c r="J72" s="7" t="inlineStr">
        <is>
          <t>— Not tested</t>
        </is>
      </c>
      <c r="K72" s="7" t="inlineStr">
        <is>
          <t>— Not tested</t>
        </is>
      </c>
      <c r="L72" s="7" t="inlineStr">
        <is>
          <t>— Not tested</t>
        </is>
      </c>
    </row>
    <row r="73">
      <c r="A73" s="6" t="n">
        <v>72</v>
      </c>
      <c r="B73" s="6" t="inlineStr">
        <is>
          <t>1 — Strategies</t>
        </is>
      </c>
      <c r="C73" s="6" t="n">
        <v>8</v>
      </c>
      <c r="D73" s="6" t="inlineStr">
        <is>
          <t>Builder Step 1 — Markets &amp; Instruments</t>
        </is>
      </c>
      <c r="E73" s="7" t="inlineStr">
        <is>
          <t>Configuration</t>
        </is>
      </c>
      <c r="F73" s="7" t="inlineStr">
        <is>
          <t>P1</t>
        </is>
      </c>
      <c r="G73" s="7" t="inlineStr">
        <is>
          <t>Select only **Futures** market.</t>
        </is>
      </c>
      <c r="H73" s="7" t="inlineStr">
        <is>
          <t>Futures</t>
        </is>
      </c>
      <c r="I73" s="7" t="inlineStr">
        <is>
          <t>Market chip active; instrument picker filters to Futures symbols.</t>
        </is>
      </c>
      <c r="J73" s="7" t="inlineStr">
        <is>
          <t>— Not tested</t>
        </is>
      </c>
      <c r="K73" s="7" t="inlineStr">
        <is>
          <t>— Not tested</t>
        </is>
      </c>
      <c r="L73" s="7" t="inlineStr">
        <is>
          <t>— Not tested</t>
        </is>
      </c>
    </row>
    <row r="74">
      <c r="A74" s="6" t="n">
        <v>73</v>
      </c>
      <c r="B74" s="6" t="inlineStr">
        <is>
          <t>1 — Strategies</t>
        </is>
      </c>
      <c r="C74" s="6" t="n">
        <v>8</v>
      </c>
      <c r="D74" s="6" t="inlineStr">
        <is>
          <t>Builder Step 1 — Markets &amp; Instruments</t>
        </is>
      </c>
      <c r="E74" s="7" t="inlineStr">
        <is>
          <t>Configuration</t>
        </is>
      </c>
      <c r="F74" s="7" t="inlineStr">
        <is>
          <t>P1</t>
        </is>
      </c>
      <c r="G74" s="7" t="inlineStr">
        <is>
          <t>Select only **Crypto** market.</t>
        </is>
      </c>
      <c r="H74" s="7" t="inlineStr">
        <is>
          <t>Crypto</t>
        </is>
      </c>
      <c r="I74" s="7" t="inlineStr">
        <is>
          <t>Market chip active; instrument picker filters to Crypto symbols.</t>
        </is>
      </c>
      <c r="J74" s="7" t="inlineStr">
        <is>
          <t>— Not tested</t>
        </is>
      </c>
      <c r="K74" s="7" t="inlineStr">
        <is>
          <t>— Not tested</t>
        </is>
      </c>
      <c r="L74" s="7" t="inlineStr">
        <is>
          <t>— Not tested</t>
        </is>
      </c>
    </row>
    <row r="75">
      <c r="A75" s="6" t="n">
        <v>74</v>
      </c>
      <c r="B75" s="6" t="inlineStr">
        <is>
          <t>1 — Strategies</t>
        </is>
      </c>
      <c r="C75" s="6" t="n">
        <v>8</v>
      </c>
      <c r="D75" s="6" t="inlineStr">
        <is>
          <t>Builder Step 1 — Markets &amp; Instruments</t>
        </is>
      </c>
      <c r="E75" s="7" t="inlineStr">
        <is>
          <t>Configuration</t>
        </is>
      </c>
      <c r="F75" s="7" t="inlineStr">
        <is>
          <t>P1</t>
        </is>
      </c>
      <c r="G75" s="7" t="inlineStr">
        <is>
          <t>Select only **Stocks** market.</t>
        </is>
      </c>
      <c r="H75" s="7" t="inlineStr">
        <is>
          <t>Stocks</t>
        </is>
      </c>
      <c r="I75" s="7" t="inlineStr">
        <is>
          <t>Market chip active; instrument picker filters to Stocks symbols.</t>
        </is>
      </c>
      <c r="J75" s="7" t="inlineStr">
        <is>
          <t>— Not tested</t>
        </is>
      </c>
      <c r="K75" s="7" t="inlineStr">
        <is>
          <t>— Not tested</t>
        </is>
      </c>
      <c r="L75" s="7" t="inlineStr">
        <is>
          <t>— Not tested</t>
        </is>
      </c>
    </row>
    <row r="76">
      <c r="A76" s="6" t="n">
        <v>75</v>
      </c>
      <c r="B76" s="6" t="inlineStr">
        <is>
          <t>1 — Strategies</t>
        </is>
      </c>
      <c r="C76" s="6" t="n">
        <v>8</v>
      </c>
      <c r="D76" s="6" t="inlineStr">
        <is>
          <t>Builder Step 1 — Markets &amp; Instruments</t>
        </is>
      </c>
      <c r="E76" s="7" t="inlineStr">
        <is>
          <t>Configuration</t>
        </is>
      </c>
      <c r="F76" s="7" t="inlineStr">
        <is>
          <t>P1</t>
        </is>
      </c>
      <c r="G76" s="7" t="inlineStr">
        <is>
          <t>Select all 4 markets.</t>
        </is>
      </c>
      <c r="H76" s="7" t="inlineStr">
        <is>
          <t>Forex+Futures+Crypto+Stocks</t>
        </is>
      </c>
      <c r="I76" s="7" t="inlineStr">
        <is>
          <t>Label shows 'All markets' or all 4 chips.</t>
        </is>
      </c>
      <c r="J76" s="7" t="inlineStr">
        <is>
          <t>— Not tested</t>
        </is>
      </c>
      <c r="K76" s="7" t="inlineStr">
        <is>
          <t>— Not tested</t>
        </is>
      </c>
      <c r="L76" s="7" t="inlineStr">
        <is>
          <t>— Not tested</t>
        </is>
      </c>
    </row>
    <row r="77">
      <c r="A77" s="6" t="n">
        <v>76</v>
      </c>
      <c r="B77" s="6" t="inlineStr">
        <is>
          <t>1 — Strategies</t>
        </is>
      </c>
      <c r="C77" s="6" t="n">
        <v>8</v>
      </c>
      <c r="D77" s="6" t="inlineStr">
        <is>
          <t>Builder Step 1 — Markets &amp; Instruments</t>
        </is>
      </c>
      <c r="E77" s="7" t="inlineStr">
        <is>
          <t>Configuration</t>
        </is>
      </c>
      <c r="F77" s="7" t="inlineStr">
        <is>
          <t>P0</t>
        </is>
      </c>
      <c r="G77" s="7" t="inlineStr">
        <is>
          <t>Deselect all markets → Next.</t>
        </is>
      </c>
      <c r="H77" s="7" t="inlineStr">
        <is>
          <t>none</t>
        </is>
      </c>
      <c r="I77" s="7" t="inlineStr">
        <is>
          <t>Blocked; markets required.</t>
        </is>
      </c>
      <c r="J77" s="7" t="inlineStr">
        <is>
          <t>— Not tested</t>
        </is>
      </c>
      <c r="K77" s="7" t="inlineStr">
        <is>
          <t>— Not tested</t>
        </is>
      </c>
      <c r="L77" s="7" t="inlineStr">
        <is>
          <t>— Not tested</t>
        </is>
      </c>
    </row>
    <row r="78">
      <c r="A78" s="6" t="n">
        <v>77</v>
      </c>
      <c r="B78" s="6" t="inlineStr">
        <is>
          <t>1 — Strategies</t>
        </is>
      </c>
      <c r="C78" s="6" t="n">
        <v>8</v>
      </c>
      <c r="D78" s="6" t="inlineStr">
        <is>
          <t>Builder Step 1 — Markets &amp; Instruments</t>
        </is>
      </c>
      <c r="E78" s="7" t="inlineStr">
        <is>
          <t>Configuration</t>
        </is>
      </c>
      <c r="F78" s="7" t="inlineStr">
        <is>
          <t>P1</t>
        </is>
      </c>
      <c r="G78" s="7" t="inlineStr">
        <is>
          <t>Add 1 instrument.</t>
        </is>
      </c>
      <c r="H78" s="7" t="inlineStr">
        <is>
          <t>e.g. EURUSD</t>
        </is>
      </c>
      <c r="I78" s="7" t="inlineStr">
        <is>
          <t>Instrument chip appears.</t>
        </is>
      </c>
      <c r="J78" s="7" t="inlineStr">
        <is>
          <t>— Not tested</t>
        </is>
      </c>
      <c r="K78" s="7" t="inlineStr">
        <is>
          <t>— Not tested</t>
        </is>
      </c>
      <c r="L78" s="7" t="inlineStr">
        <is>
          <t>— Not tested</t>
        </is>
      </c>
    </row>
    <row r="79">
      <c r="A79" s="6" t="n">
        <v>78</v>
      </c>
      <c r="B79" s="6" t="inlineStr">
        <is>
          <t>1 — Strategies</t>
        </is>
      </c>
      <c r="C79" s="6" t="n">
        <v>8</v>
      </c>
      <c r="D79" s="6" t="inlineStr">
        <is>
          <t>Builder Step 1 — Markets &amp; Instruments</t>
        </is>
      </c>
      <c r="E79" s="7" t="inlineStr">
        <is>
          <t>Configuration</t>
        </is>
      </c>
      <c r="F79" s="7" t="inlineStr">
        <is>
          <t>P0</t>
        </is>
      </c>
      <c r="G79" s="7" t="inlineStr">
        <is>
          <t>Add 10 instruments (max).</t>
        </is>
      </c>
      <c r="H79" s="7" t="inlineStr">
        <is>
          <t>10 symbols</t>
        </is>
      </c>
      <c r="I79" s="7" t="inlineStr">
        <is>
          <t>10 chips; cannot add 11th.</t>
        </is>
      </c>
      <c r="J79" s="7" t="inlineStr">
        <is>
          <t>— Not tested</t>
        </is>
      </c>
      <c r="K79" s="7" t="inlineStr">
        <is>
          <t>— Not tested</t>
        </is>
      </c>
      <c r="L79" s="7" t="inlineStr">
        <is>
          <t>— Not tested</t>
        </is>
      </c>
    </row>
    <row r="80">
      <c r="A80" s="6" t="n">
        <v>79</v>
      </c>
      <c r="B80" s="6" t="inlineStr">
        <is>
          <t>1 — Strategies</t>
        </is>
      </c>
      <c r="C80" s="6" t="n">
        <v>8</v>
      </c>
      <c r="D80" s="6" t="inlineStr">
        <is>
          <t>Builder Step 1 — Markets &amp; Instruments</t>
        </is>
      </c>
      <c r="E80" s="7" t="inlineStr">
        <is>
          <t>Configuration</t>
        </is>
      </c>
      <c r="F80" s="7" t="inlineStr">
        <is>
          <t>P1</t>
        </is>
      </c>
      <c r="G80" s="7" t="inlineStr">
        <is>
          <t>Instrument search: type 'EUR'.</t>
        </is>
      </c>
      <c r="H80" s="7" t="inlineStr">
        <is>
          <t>EUR</t>
        </is>
      </c>
      <c r="I80" s="7" t="inlineStr">
        <is>
          <t>Filters instrument list.</t>
        </is>
      </c>
      <c r="J80" s="7" t="inlineStr">
        <is>
          <t>— Not tested</t>
        </is>
      </c>
      <c r="K80" s="7" t="inlineStr">
        <is>
          <t>— Not tested</t>
        </is>
      </c>
      <c r="L80" s="7" t="inlineStr">
        <is>
          <t>— Not tested</t>
        </is>
      </c>
    </row>
    <row r="81">
      <c r="A81" s="6" t="n">
        <v>80</v>
      </c>
      <c r="B81" s="6" t="inlineStr">
        <is>
          <t>1 — Strategies</t>
        </is>
      </c>
      <c r="C81" s="6" t="n">
        <v>8</v>
      </c>
      <c r="D81" s="6" t="inlineStr">
        <is>
          <t>Builder Step 1 — Markets &amp; Instruments</t>
        </is>
      </c>
      <c r="E81" s="7" t="inlineStr">
        <is>
          <t>Configuration</t>
        </is>
      </c>
      <c r="F81" s="7" t="inlineStr">
        <is>
          <t>P2</t>
        </is>
      </c>
      <c r="G81" s="7" t="inlineStr">
        <is>
          <t>Instrument search: no match.</t>
        </is>
      </c>
      <c r="H81" s="7" t="inlineStr">
        <is>
          <t>ZZZZZ</t>
        </is>
      </c>
      <c r="I81" s="7" t="inlineStr">
        <is>
          <t>Empty list; no crash.</t>
        </is>
      </c>
      <c r="J81" s="7" t="inlineStr">
        <is>
          <t>— Not tested</t>
        </is>
      </c>
      <c r="K81" s="7" t="inlineStr">
        <is>
          <t>— Not tested</t>
        </is>
      </c>
      <c r="L81" s="7" t="inlineStr">
        <is>
          <t>— Not tested</t>
        </is>
      </c>
    </row>
    <row r="82">
      <c r="A82" s="6" t="n">
        <v>81</v>
      </c>
      <c r="B82" s="6" t="inlineStr">
        <is>
          <t>1 — Strategies</t>
        </is>
      </c>
      <c r="C82" s="6" t="n">
        <v>8</v>
      </c>
      <c r="D82" s="6" t="inlineStr">
        <is>
          <t>Builder Step 1 — Markets &amp; Instruments</t>
        </is>
      </c>
      <c r="E82" s="7" t="inlineStr">
        <is>
          <t>Configuration</t>
        </is>
      </c>
      <c r="F82" s="7" t="inlineStr">
        <is>
          <t>P2</t>
        </is>
      </c>
      <c r="G82" s="7" t="inlineStr">
        <is>
          <t>Supporting instruments: add 2 secondary symbols.</t>
        </is>
      </c>
      <c r="H82" s="7" t="inlineStr">
        <is>
          <t>2 symbols</t>
        </is>
      </c>
      <c r="I82" s="7" t="inlineStr">
        <is>
          <t>Supporting list populated.</t>
        </is>
      </c>
      <c r="J82" s="7" t="inlineStr">
        <is>
          <t>— Not tested</t>
        </is>
      </c>
      <c r="K82" s="7" t="inlineStr">
        <is>
          <t>— Not tested</t>
        </is>
      </c>
      <c r="L82" s="7" t="inlineStr">
        <is>
          <t>— Not tested</t>
        </is>
      </c>
    </row>
    <row r="83">
      <c r="A83" s="6" t="n">
        <v>82</v>
      </c>
      <c r="B83" s="6" t="inlineStr">
        <is>
          <t>1 — Strategies</t>
        </is>
      </c>
      <c r="C83" s="6" t="n">
        <v>8</v>
      </c>
      <c r="D83" s="6" t="inlineStr">
        <is>
          <t>Builder Step 1 — Markets &amp; Instruments</t>
        </is>
      </c>
      <c r="E83" s="7" t="inlineStr">
        <is>
          <t>Configuration</t>
        </is>
      </c>
      <c r="F83" s="7" t="inlineStr">
        <is>
          <t>P2</t>
        </is>
      </c>
      <c r="G83" s="7" t="inlineStr">
        <is>
          <t>Toggle Style: Scalping, Intraday, Swing each.</t>
        </is>
      </c>
      <c r="H83" s="7" t="inlineStr">
        <is>
          <t>3 options</t>
        </is>
      </c>
      <c r="I83" s="7" t="inlineStr">
        <is>
          <t>One active at a time.</t>
        </is>
      </c>
      <c r="J83" s="7" t="inlineStr">
        <is>
          <t>— Not tested</t>
        </is>
      </c>
      <c r="K83" s="7" t="inlineStr">
        <is>
          <t>— Not tested</t>
        </is>
      </c>
      <c r="L83" s="7" t="inlineStr">
        <is>
          <t>— Not tested</t>
        </is>
      </c>
    </row>
    <row r="84">
      <c r="A84" s="6" t="n">
        <v>83</v>
      </c>
      <c r="B84" s="6" t="inlineStr">
        <is>
          <t>1 — Strategies</t>
        </is>
      </c>
      <c r="C84" s="6" t="n">
        <v>8</v>
      </c>
      <c r="D84" s="6" t="inlineStr">
        <is>
          <t>Builder Step 1 — Markets &amp; Instruments</t>
        </is>
      </c>
      <c r="E84" s="7" t="inlineStr">
        <is>
          <t>Configuration</t>
        </is>
      </c>
      <c r="F84" s="7" t="inlineStr">
        <is>
          <t>P2</t>
        </is>
      </c>
      <c r="G84" s="7" t="inlineStr">
        <is>
          <t>Toggle Direction: Both, Long Only, Short Only.</t>
        </is>
      </c>
      <c r="H84" s="7" t="inlineStr">
        <is>
          <t>3 options</t>
        </is>
      </c>
      <c r="I84" s="7" t="inlineStr">
        <is>
          <t>Selection persists to review.</t>
        </is>
      </c>
      <c r="J84" s="7" t="inlineStr">
        <is>
          <t>— Not tested</t>
        </is>
      </c>
      <c r="K84" s="7" t="inlineStr">
        <is>
          <t>— Not tested</t>
        </is>
      </c>
      <c r="L84" s="7" t="inlineStr">
        <is>
          <t>— Not tested</t>
        </is>
      </c>
    </row>
    <row r="85">
      <c r="A85" s="6" t="n">
        <v>84</v>
      </c>
      <c r="B85" s="6" t="inlineStr">
        <is>
          <t>1 — Strategies</t>
        </is>
      </c>
      <c r="C85" s="6" t="n">
        <v>9</v>
      </c>
      <c r="D85" s="6" t="inlineStr">
        <is>
          <t>Builder Step 1 — Timeframes</t>
        </is>
      </c>
      <c r="E85" s="7" t="inlineStr">
        <is>
          <t>Configuration</t>
        </is>
      </c>
      <c r="F85" s="7" t="inlineStr">
        <is>
          <t>P1</t>
        </is>
      </c>
      <c r="G85" s="7" t="inlineStr">
        <is>
          <t>Select timeframe **1m**.</t>
        </is>
      </c>
      <c r="H85" s="7" t="inlineStr">
        <is>
          <t>1m</t>
        </is>
      </c>
      <c r="I85" s="7" t="inlineStr">
        <is>
          <t>1m chip active; included in saved strategy.</t>
        </is>
      </c>
      <c r="J85" s="7" t="inlineStr">
        <is>
          <t>— Not tested</t>
        </is>
      </c>
      <c r="K85" s="7" t="inlineStr">
        <is>
          <t>— Not tested</t>
        </is>
      </c>
      <c r="L85" s="7" t="inlineStr">
        <is>
          <t>— Not tested</t>
        </is>
      </c>
    </row>
    <row r="86">
      <c r="A86" s="6" t="n">
        <v>85</v>
      </c>
      <c r="B86" s="6" t="inlineStr">
        <is>
          <t>1 — Strategies</t>
        </is>
      </c>
      <c r="C86" s="6" t="n">
        <v>9</v>
      </c>
      <c r="D86" s="6" t="inlineStr">
        <is>
          <t>Builder Step 1 — Timeframes</t>
        </is>
      </c>
      <c r="E86" s="7" t="inlineStr">
        <is>
          <t>Configuration</t>
        </is>
      </c>
      <c r="F86" s="7" t="inlineStr">
        <is>
          <t>P1</t>
        </is>
      </c>
      <c r="G86" s="7" t="inlineStr">
        <is>
          <t>Select timeframe **5m**.</t>
        </is>
      </c>
      <c r="H86" s="7" t="inlineStr">
        <is>
          <t>5m</t>
        </is>
      </c>
      <c r="I86" s="7" t="inlineStr">
        <is>
          <t>5m chip active; included in saved strategy.</t>
        </is>
      </c>
      <c r="J86" s="7" t="inlineStr">
        <is>
          <t>— Not tested</t>
        </is>
      </c>
      <c r="K86" s="7" t="inlineStr">
        <is>
          <t>— Not tested</t>
        </is>
      </c>
      <c r="L86" s="7" t="inlineStr">
        <is>
          <t>— Not tested</t>
        </is>
      </c>
    </row>
    <row r="87">
      <c r="A87" s="6" t="n">
        <v>86</v>
      </c>
      <c r="B87" s="6" t="inlineStr">
        <is>
          <t>1 — Strategies</t>
        </is>
      </c>
      <c r="C87" s="6" t="n">
        <v>9</v>
      </c>
      <c r="D87" s="6" t="inlineStr">
        <is>
          <t>Builder Step 1 — Timeframes</t>
        </is>
      </c>
      <c r="E87" s="7" t="inlineStr">
        <is>
          <t>Configuration</t>
        </is>
      </c>
      <c r="F87" s="7" t="inlineStr">
        <is>
          <t>P1</t>
        </is>
      </c>
      <c r="G87" s="7" t="inlineStr">
        <is>
          <t>Select timeframe **15m**.</t>
        </is>
      </c>
      <c r="H87" s="7" t="inlineStr">
        <is>
          <t>15m</t>
        </is>
      </c>
      <c r="I87" s="7" t="inlineStr">
        <is>
          <t>15m chip active; included in saved strategy.</t>
        </is>
      </c>
      <c r="J87" s="7" t="inlineStr">
        <is>
          <t>— Not tested</t>
        </is>
      </c>
      <c r="K87" s="7" t="inlineStr">
        <is>
          <t>— Not tested</t>
        </is>
      </c>
      <c r="L87" s="7" t="inlineStr">
        <is>
          <t>— Not tested</t>
        </is>
      </c>
    </row>
    <row r="88">
      <c r="A88" s="6" t="n">
        <v>87</v>
      </c>
      <c r="B88" s="6" t="inlineStr">
        <is>
          <t>1 — Strategies</t>
        </is>
      </c>
      <c r="C88" s="6" t="n">
        <v>9</v>
      </c>
      <c r="D88" s="6" t="inlineStr">
        <is>
          <t>Builder Step 1 — Timeframes</t>
        </is>
      </c>
      <c r="E88" s="7" t="inlineStr">
        <is>
          <t>Configuration</t>
        </is>
      </c>
      <c r="F88" s="7" t="inlineStr">
        <is>
          <t>P1</t>
        </is>
      </c>
      <c r="G88" s="7" t="inlineStr">
        <is>
          <t>Select timeframe **30m**.</t>
        </is>
      </c>
      <c r="H88" s="7" t="inlineStr">
        <is>
          <t>30m</t>
        </is>
      </c>
      <c r="I88" s="7" t="inlineStr">
        <is>
          <t>30m chip active; included in saved strategy.</t>
        </is>
      </c>
      <c r="J88" s="7" t="inlineStr">
        <is>
          <t>— Not tested</t>
        </is>
      </c>
      <c r="K88" s="7" t="inlineStr">
        <is>
          <t>— Not tested</t>
        </is>
      </c>
      <c r="L88" s="7" t="inlineStr">
        <is>
          <t>— Not tested</t>
        </is>
      </c>
    </row>
    <row r="89">
      <c r="A89" s="6" t="n">
        <v>88</v>
      </c>
      <c r="B89" s="6" t="inlineStr">
        <is>
          <t>1 — Strategies</t>
        </is>
      </c>
      <c r="C89" s="6" t="n">
        <v>9</v>
      </c>
      <c r="D89" s="6" t="inlineStr">
        <is>
          <t>Builder Step 1 — Timeframes</t>
        </is>
      </c>
      <c r="E89" s="7" t="inlineStr">
        <is>
          <t>Configuration</t>
        </is>
      </c>
      <c r="F89" s="7" t="inlineStr">
        <is>
          <t>P1</t>
        </is>
      </c>
      <c r="G89" s="7" t="inlineStr">
        <is>
          <t>Select timeframe **1H**.</t>
        </is>
      </c>
      <c r="H89" s="7" t="inlineStr">
        <is>
          <t>1H</t>
        </is>
      </c>
      <c r="I89" s="7" t="inlineStr">
        <is>
          <t>1H chip active; included in saved strategy.</t>
        </is>
      </c>
      <c r="J89" s="7" t="inlineStr">
        <is>
          <t>— Not tested</t>
        </is>
      </c>
      <c r="K89" s="7" t="inlineStr">
        <is>
          <t>— Not tested</t>
        </is>
      </c>
      <c r="L89" s="7" t="inlineStr">
        <is>
          <t>— Not tested</t>
        </is>
      </c>
    </row>
    <row r="90">
      <c r="A90" s="6" t="n">
        <v>89</v>
      </c>
      <c r="B90" s="6" t="inlineStr">
        <is>
          <t>1 — Strategies</t>
        </is>
      </c>
      <c r="C90" s="6" t="n">
        <v>9</v>
      </c>
      <c r="D90" s="6" t="inlineStr">
        <is>
          <t>Builder Step 1 — Timeframes</t>
        </is>
      </c>
      <c r="E90" s="7" t="inlineStr">
        <is>
          <t>Configuration</t>
        </is>
      </c>
      <c r="F90" s="7" t="inlineStr">
        <is>
          <t>P1</t>
        </is>
      </c>
      <c r="G90" s="7" t="inlineStr">
        <is>
          <t>Select timeframe **4H**.</t>
        </is>
      </c>
      <c r="H90" s="7" t="inlineStr">
        <is>
          <t>4H</t>
        </is>
      </c>
      <c r="I90" s="7" t="inlineStr">
        <is>
          <t>4H chip active; included in saved strategy.</t>
        </is>
      </c>
      <c r="J90" s="7" t="inlineStr">
        <is>
          <t>— Not tested</t>
        </is>
      </c>
      <c r="K90" s="7" t="inlineStr">
        <is>
          <t>— Not tested</t>
        </is>
      </c>
      <c r="L90" s="7" t="inlineStr">
        <is>
          <t>— Not tested</t>
        </is>
      </c>
    </row>
    <row r="91">
      <c r="A91" s="6" t="n">
        <v>90</v>
      </c>
      <c r="B91" s="6" t="inlineStr">
        <is>
          <t>1 — Strategies</t>
        </is>
      </c>
      <c r="C91" s="6" t="n">
        <v>9</v>
      </c>
      <c r="D91" s="6" t="inlineStr">
        <is>
          <t>Builder Step 1 — Timeframes</t>
        </is>
      </c>
      <c r="E91" s="7" t="inlineStr">
        <is>
          <t>Configuration</t>
        </is>
      </c>
      <c r="F91" s="7" t="inlineStr">
        <is>
          <t>P1</t>
        </is>
      </c>
      <c r="G91" s="7" t="inlineStr">
        <is>
          <t>Select timeframe **1D**.</t>
        </is>
      </c>
      <c r="H91" s="7" t="inlineStr">
        <is>
          <t>1D</t>
        </is>
      </c>
      <c r="I91" s="7" t="inlineStr">
        <is>
          <t>1D chip active; included in saved strategy.</t>
        </is>
      </c>
      <c r="J91" s="7" t="inlineStr">
        <is>
          <t>— Not tested</t>
        </is>
      </c>
      <c r="K91" s="7" t="inlineStr">
        <is>
          <t>— Not tested</t>
        </is>
      </c>
      <c r="L91" s="7" t="inlineStr">
        <is>
          <t>— Not tested</t>
        </is>
      </c>
    </row>
    <row r="92">
      <c r="A92" s="6" t="n">
        <v>91</v>
      </c>
      <c r="B92" s="6" t="inlineStr">
        <is>
          <t>1 — Strategies</t>
        </is>
      </c>
      <c r="C92" s="6" t="n">
        <v>9</v>
      </c>
      <c r="D92" s="6" t="inlineStr">
        <is>
          <t>Builder Step 1 — Timeframes</t>
        </is>
      </c>
      <c r="E92" s="7" t="inlineStr">
        <is>
          <t>Configuration</t>
        </is>
      </c>
      <c r="F92" s="7" t="inlineStr">
        <is>
          <t>P1</t>
        </is>
      </c>
      <c r="G92" s="7" t="inlineStr">
        <is>
          <t>Select timeframe **1W**.</t>
        </is>
      </c>
      <c r="H92" s="7" t="inlineStr">
        <is>
          <t>1W</t>
        </is>
      </c>
      <c r="I92" s="7" t="inlineStr">
        <is>
          <t>1W chip active; included in saved strategy.</t>
        </is>
      </c>
      <c r="J92" s="7" t="inlineStr">
        <is>
          <t>— Not tested</t>
        </is>
      </c>
      <c r="K92" s="7" t="inlineStr">
        <is>
          <t>— Not tested</t>
        </is>
      </c>
      <c r="L92" s="7" t="inlineStr">
        <is>
          <t>— Not tested</t>
        </is>
      </c>
    </row>
    <row r="93">
      <c r="A93" s="6" t="n">
        <v>92</v>
      </c>
      <c r="B93" s="6" t="inlineStr">
        <is>
          <t>1 — Strategies</t>
        </is>
      </c>
      <c r="C93" s="6" t="n">
        <v>9</v>
      </c>
      <c r="D93" s="6" t="inlineStr">
        <is>
          <t>Builder Step 1 — Timeframes</t>
        </is>
      </c>
      <c r="E93" s="7" t="inlineStr">
        <is>
          <t>Configuration</t>
        </is>
      </c>
      <c r="F93" s="7" t="inlineStr">
        <is>
          <t>P1</t>
        </is>
      </c>
      <c r="G93" s="7" t="inlineStr">
        <is>
          <t>Select timeframe **1M**.</t>
        </is>
      </c>
      <c r="H93" s="7" t="inlineStr">
        <is>
          <t>1M</t>
        </is>
      </c>
      <c r="I93" s="7" t="inlineStr">
        <is>
          <t>1M chip active; included in saved strategy.</t>
        </is>
      </c>
      <c r="J93" s="7" t="inlineStr">
        <is>
          <t>— Not tested</t>
        </is>
      </c>
      <c r="K93" s="7" t="inlineStr">
        <is>
          <t>— Not tested</t>
        </is>
      </c>
      <c r="L93" s="7" t="inlineStr">
        <is>
          <t>— Not tested</t>
        </is>
      </c>
    </row>
    <row r="94">
      <c r="A94" s="6" t="n">
        <v>93</v>
      </c>
      <c r="B94" s="6" t="inlineStr">
        <is>
          <t>1 — Strategies</t>
        </is>
      </c>
      <c r="C94" s="6" t="n">
        <v>9</v>
      </c>
      <c r="D94" s="6" t="inlineStr">
        <is>
          <t>Builder Step 1 — Timeframes</t>
        </is>
      </c>
      <c r="E94" s="7" t="inlineStr">
        <is>
          <t>Input matrix</t>
        </is>
      </c>
      <c r="F94" s="7" t="inlineStr">
        <is>
          <t>P1</t>
        </is>
      </c>
      <c r="G94" s="7" t="inlineStr">
        <is>
          <t>Select 6 timeframes (max).</t>
        </is>
      </c>
      <c r="H94" s="7" t="inlineStr">
        <is>
          <t>6 TFs</t>
        </is>
      </c>
      <c r="I94" s="7" t="inlineStr">
        <is>
          <t>6 chips active.</t>
        </is>
      </c>
      <c r="J94" s="7" t="inlineStr">
        <is>
          <t>— Not tested</t>
        </is>
      </c>
      <c r="K94" s="7" t="inlineStr">
        <is>
          <t>— Not tested</t>
        </is>
      </c>
      <c r="L94" s="7" t="inlineStr">
        <is>
          <t>— Not tested</t>
        </is>
      </c>
    </row>
    <row r="95">
      <c r="A95" s="6" t="n">
        <v>94</v>
      </c>
      <c r="B95" s="6" t="inlineStr">
        <is>
          <t>1 — Strategies</t>
        </is>
      </c>
      <c r="C95" s="6" t="n">
        <v>9</v>
      </c>
      <c r="D95" s="6" t="inlineStr">
        <is>
          <t>Builder Step 1 — Timeframes</t>
        </is>
      </c>
      <c r="E95" s="7" t="inlineStr">
        <is>
          <t>Input matrix</t>
        </is>
      </c>
      <c r="F95" s="7" t="inlineStr">
        <is>
          <t>P0</t>
        </is>
      </c>
      <c r="G95" s="7" t="inlineStr">
        <is>
          <t>Try 7th timeframe.</t>
        </is>
      </c>
      <c r="H95" s="7" t="inlineStr">
        <is>
          <t>7th TF</t>
        </is>
      </c>
      <c r="I95" s="7" t="inlineStr">
        <is>
          <t>Blocked at 6 max.</t>
        </is>
      </c>
      <c r="J95" s="7" t="inlineStr">
        <is>
          <t>— Not tested</t>
        </is>
      </c>
      <c r="K95" s="7" t="inlineStr">
        <is>
          <t>— Not tested</t>
        </is>
      </c>
      <c r="L95" s="7" t="inlineStr">
        <is>
          <t>— Not tested</t>
        </is>
      </c>
    </row>
    <row r="96">
      <c r="A96" s="6" t="n">
        <v>95</v>
      </c>
      <c r="B96" s="6" t="inlineStr">
        <is>
          <t>1 — Strategies</t>
        </is>
      </c>
      <c r="C96" s="6" t="n">
        <v>9</v>
      </c>
      <c r="D96" s="6" t="inlineStr">
        <is>
          <t>Builder Step 1 — Timeframes</t>
        </is>
      </c>
      <c r="E96" s="7" t="inlineStr">
        <is>
          <t>Input matrix</t>
        </is>
      </c>
      <c r="F96" s="7" t="inlineStr">
        <is>
          <t>P1</t>
        </is>
      </c>
      <c r="G96" s="7" t="inlineStr">
        <is>
          <t>Custom TF: add 7m.</t>
        </is>
      </c>
      <c r="H96" s="7" t="inlineStr">
        <is>
          <t>7 + minutes</t>
        </is>
      </c>
      <c r="I96" s="7" t="inlineStr">
        <is>
          <t>7m appears in list and selection.</t>
        </is>
      </c>
      <c r="J96" s="7" t="inlineStr">
        <is>
          <t>— Not tested</t>
        </is>
      </c>
      <c r="K96" s="7" t="inlineStr">
        <is>
          <t>— Not tested</t>
        </is>
      </c>
      <c r="L96" s="7" t="inlineStr">
        <is>
          <t>— Not tested</t>
        </is>
      </c>
    </row>
    <row r="97">
      <c r="A97" s="6" t="n">
        <v>96</v>
      </c>
      <c r="B97" s="6" t="inlineStr">
        <is>
          <t>1 — Strategies</t>
        </is>
      </c>
      <c r="C97" s="6" t="n">
        <v>9</v>
      </c>
      <c r="D97" s="6" t="inlineStr">
        <is>
          <t>Builder Step 1 — Timeframes</t>
        </is>
      </c>
      <c r="E97" s="7" t="inlineStr">
        <is>
          <t>Input matrix</t>
        </is>
      </c>
      <c r="F97" s="7" t="inlineStr">
        <is>
          <t>P1</t>
        </is>
      </c>
      <c r="G97" s="7" t="inlineStr">
        <is>
          <t>Custom TF: add 3H.</t>
        </is>
      </c>
      <c r="H97" s="7" t="inlineStr">
        <is>
          <t>3 + hours</t>
        </is>
      </c>
      <c r="I97" s="7" t="inlineStr">
        <is>
          <t>3H works.</t>
        </is>
      </c>
      <c r="J97" s="7" t="inlineStr">
        <is>
          <t>— Not tested</t>
        </is>
      </c>
      <c r="K97" s="7" t="inlineStr">
        <is>
          <t>— Not tested</t>
        </is>
      </c>
      <c r="L97" s="7" t="inlineStr">
        <is>
          <t>— Not tested</t>
        </is>
      </c>
    </row>
    <row r="98">
      <c r="A98" s="6" t="n">
        <v>97</v>
      </c>
      <c r="B98" s="6" t="inlineStr">
        <is>
          <t>1 — Strategies</t>
        </is>
      </c>
      <c r="C98" s="6" t="n">
        <v>9</v>
      </c>
      <c r="D98" s="6" t="inlineStr">
        <is>
          <t>Builder Step 1 — Timeframes</t>
        </is>
      </c>
      <c r="E98" s="7" t="inlineStr">
        <is>
          <t>Input matrix</t>
        </is>
      </c>
      <c r="F98" s="7" t="inlineStr">
        <is>
          <t>P1</t>
        </is>
      </c>
      <c r="G98" s="7" t="inlineStr">
        <is>
          <t>Custom TF: invalid 0 minutes.</t>
        </is>
      </c>
      <c r="H98" s="7" t="inlineStr">
        <is>
          <t>0m</t>
        </is>
      </c>
      <c r="I98" s="7" t="inlineStr">
        <is>
          <t>Rejected; not added.</t>
        </is>
      </c>
      <c r="J98" s="7" t="inlineStr">
        <is>
          <t>— Not tested</t>
        </is>
      </c>
      <c r="K98" s="7" t="inlineStr">
        <is>
          <t>— Not tested</t>
        </is>
      </c>
      <c r="L98" s="7" t="inlineStr">
        <is>
          <t>— Not tested</t>
        </is>
      </c>
    </row>
    <row r="99">
      <c r="A99" s="6" t="n">
        <v>98</v>
      </c>
      <c r="B99" s="6" t="inlineStr">
        <is>
          <t>1 — Strategies</t>
        </is>
      </c>
      <c r="C99" s="6" t="n">
        <v>9</v>
      </c>
      <c r="D99" s="6" t="inlineStr">
        <is>
          <t>Builder Step 1 — Timeframes</t>
        </is>
      </c>
      <c r="E99" s="7" t="inlineStr">
        <is>
          <t>Input matrix</t>
        </is>
      </c>
      <c r="F99" s="7" t="inlineStr">
        <is>
          <t>P2</t>
        </is>
      </c>
      <c r="G99" s="7" t="inlineStr">
        <is>
          <t>Custom TF: duplicate 5m.</t>
        </is>
      </c>
      <c r="H99" s="7" t="inlineStr">
        <is>
          <t>5m again</t>
        </is>
      </c>
      <c r="I99" s="7" t="inlineStr">
        <is>
          <t>Not duplicated.</t>
        </is>
      </c>
      <c r="J99" s="7" t="inlineStr">
        <is>
          <t>— Not tested</t>
        </is>
      </c>
      <c r="K99" s="7" t="inlineStr">
        <is>
          <t>— Not tested</t>
        </is>
      </c>
      <c r="L99" s="7" t="inlineStr">
        <is>
          <t>— Not tested</t>
        </is>
      </c>
    </row>
    <row r="100">
      <c r="A100" s="6" t="n">
        <v>99</v>
      </c>
      <c r="B100" s="6" t="inlineStr">
        <is>
          <t>1 — Strategies</t>
        </is>
      </c>
      <c r="C100" s="6" t="n">
        <v>9</v>
      </c>
      <c r="D100" s="6" t="inlineStr">
        <is>
          <t>Builder Step 1 — Timeframes</t>
        </is>
      </c>
      <c r="E100" s="7" t="inlineStr">
        <is>
          <t>Input matrix</t>
        </is>
      </c>
      <c r="F100" s="7" t="inlineStr">
        <is>
          <t>P0</t>
        </is>
      </c>
      <c r="G100" s="7" t="inlineStr">
        <is>
          <t>Deselect all timeframes → Next.</t>
        </is>
      </c>
      <c r="H100" s="7" t="inlineStr">
        <is>
          <t>none</t>
        </is>
      </c>
      <c r="I100" s="7" t="inlineStr">
        <is>
          <t>Blocked; timeframes required.</t>
        </is>
      </c>
      <c r="J100" s="7" t="inlineStr">
        <is>
          <t>— Not tested</t>
        </is>
      </c>
      <c r="K100" s="7" t="inlineStr">
        <is>
          <t>— Not tested</t>
        </is>
      </c>
      <c r="L100" s="7" t="inlineStr">
        <is>
          <t>— Not tested</t>
        </is>
      </c>
    </row>
    <row r="101">
      <c r="A101" s="6" t="n">
        <v>100</v>
      </c>
      <c r="B101" s="6" t="inlineStr">
        <is>
          <t>1 — Strategies</t>
        </is>
      </c>
      <c r="C101" s="6" t="n">
        <v>10</v>
      </c>
      <c r="D101" s="6" t="inlineStr">
        <is>
          <t>Builder Step 1 — Cover Images</t>
        </is>
      </c>
      <c r="E101" s="7" t="inlineStr">
        <is>
          <t>Edge</t>
        </is>
      </c>
      <c r="F101" s="7" t="inlineStr">
        <is>
          <t>P1</t>
        </is>
      </c>
      <c r="G101" s="7" t="inlineStr">
        <is>
          <t>Upload 1 valid PNG/JPG.</t>
        </is>
      </c>
      <c r="H101" s="7" t="inlineStr">
        <is>
          <t>small image</t>
        </is>
      </c>
      <c r="I101" s="7" t="inlineStr">
        <is>
          <t>Thumbnail appears.</t>
        </is>
      </c>
      <c r="J101" s="7" t="inlineStr">
        <is>
          <t>— Not tested</t>
        </is>
      </c>
      <c r="K101" s="7" t="inlineStr">
        <is>
          <t>— Not tested</t>
        </is>
      </c>
      <c r="L101" s="7" t="inlineStr">
        <is>
          <t>— Not tested</t>
        </is>
      </c>
    </row>
    <row r="102">
      <c r="A102" s="6" t="n">
        <v>101</v>
      </c>
      <c r="B102" s="6" t="inlineStr">
        <is>
          <t>1 — Strategies</t>
        </is>
      </c>
      <c r="C102" s="6" t="n">
        <v>10</v>
      </c>
      <c r="D102" s="6" t="inlineStr">
        <is>
          <t>Builder Step 1 — Cover Images</t>
        </is>
      </c>
      <c r="E102" s="7" t="inlineStr">
        <is>
          <t>Edge</t>
        </is>
      </c>
      <c r="F102" s="7" t="inlineStr">
        <is>
          <t>P1</t>
        </is>
      </c>
      <c r="G102" s="7" t="inlineStr">
        <is>
          <t>Upload 6 images (max).</t>
        </is>
      </c>
      <c r="H102" s="7" t="inlineStr">
        <is>
          <t>6 images</t>
        </is>
      </c>
      <c r="I102" s="7" t="inlineStr">
        <is>
          <t>6 thumbnails.</t>
        </is>
      </c>
      <c r="J102" s="7" t="inlineStr">
        <is>
          <t>— Not tested</t>
        </is>
      </c>
      <c r="K102" s="7" t="inlineStr">
        <is>
          <t>— Not tested</t>
        </is>
      </c>
      <c r="L102" s="7" t="inlineStr">
        <is>
          <t>— Not tested</t>
        </is>
      </c>
    </row>
    <row r="103">
      <c r="A103" s="6" t="n">
        <v>102</v>
      </c>
      <c r="B103" s="6" t="inlineStr">
        <is>
          <t>1 — Strategies</t>
        </is>
      </c>
      <c r="C103" s="6" t="n">
        <v>10</v>
      </c>
      <c r="D103" s="6" t="inlineStr">
        <is>
          <t>Builder Step 1 — Cover Images</t>
        </is>
      </c>
      <c r="E103" s="7" t="inlineStr">
        <is>
          <t>Edge</t>
        </is>
      </c>
      <c r="F103" s="7" t="inlineStr">
        <is>
          <t>P1</t>
        </is>
      </c>
      <c r="G103" s="7" t="inlineStr">
        <is>
          <t>Try 7th image.</t>
        </is>
      </c>
      <c r="H103" s="7" t="inlineStr">
        <is>
          <t>7th file</t>
        </is>
      </c>
      <c r="I103" s="7" t="inlineStr">
        <is>
          <t>Blocked at 6 max.</t>
        </is>
      </c>
      <c r="J103" s="7" t="inlineStr">
        <is>
          <t>— Not tested</t>
        </is>
      </c>
      <c r="K103" s="7" t="inlineStr">
        <is>
          <t>— Not tested</t>
        </is>
      </c>
      <c r="L103" s="7" t="inlineStr">
        <is>
          <t>— Not tested</t>
        </is>
      </c>
    </row>
    <row r="104">
      <c r="A104" s="6" t="n">
        <v>103</v>
      </c>
      <c r="B104" s="6" t="inlineStr">
        <is>
          <t>1 — Strategies</t>
        </is>
      </c>
      <c r="C104" s="6" t="n">
        <v>10</v>
      </c>
      <c r="D104" s="6" t="inlineStr">
        <is>
          <t>Builder Step 1 — Cover Images</t>
        </is>
      </c>
      <c r="E104" s="7" t="inlineStr">
        <is>
          <t>Edge</t>
        </is>
      </c>
      <c r="F104" s="7" t="inlineStr">
        <is>
          <t>P1</t>
        </is>
      </c>
      <c r="G104" s="7" t="inlineStr">
        <is>
          <t>Upload very large image (&gt;5MB).</t>
        </is>
      </c>
      <c r="H104" s="7" t="inlineStr">
        <is>
          <t>large file</t>
        </is>
      </c>
      <c r="I104" s="7" t="inlineStr">
        <is>
          <t>Compresses or shows error alert; no hang.</t>
        </is>
      </c>
      <c r="J104" s="7" t="inlineStr">
        <is>
          <t>— Not tested</t>
        </is>
      </c>
      <c r="K104" s="7" t="inlineStr">
        <is>
          <t>— Not tested</t>
        </is>
      </c>
      <c r="L104" s="7" t="inlineStr">
        <is>
          <t>— Not tested</t>
        </is>
      </c>
    </row>
    <row r="105">
      <c r="A105" s="6" t="n">
        <v>104</v>
      </c>
      <c r="B105" s="6" t="inlineStr">
        <is>
          <t>1 — Strategies</t>
        </is>
      </c>
      <c r="C105" s="6" t="n">
        <v>10</v>
      </c>
      <c r="D105" s="6" t="inlineStr">
        <is>
          <t>Builder Step 1 — Cover Images</t>
        </is>
      </c>
      <c r="E105" s="7" t="inlineStr">
        <is>
          <t>Edge</t>
        </is>
      </c>
      <c r="F105" s="7" t="inlineStr">
        <is>
          <t>P1</t>
        </is>
      </c>
      <c r="G105" s="7" t="inlineStr">
        <is>
          <t>Upload non-image file renamed .png.</t>
        </is>
      </c>
      <c r="H105" s="7" t="inlineStr">
        <is>
          <t>fake file</t>
        </is>
      </c>
      <c r="I105" s="7" t="inlineStr">
        <is>
          <t>Error message; rejected.</t>
        </is>
      </c>
      <c r="J105" s="7" t="inlineStr">
        <is>
          <t>— Not tested</t>
        </is>
      </c>
      <c r="K105" s="7" t="inlineStr">
        <is>
          <t>— Not tested</t>
        </is>
      </c>
      <c r="L105" s="7" t="inlineStr">
        <is>
          <t>— Not tested</t>
        </is>
      </c>
    </row>
    <row r="106">
      <c r="A106" s="6" t="n">
        <v>105</v>
      </c>
      <c r="B106" s="6" t="inlineStr">
        <is>
          <t>1 — Strategies</t>
        </is>
      </c>
      <c r="C106" s="6" t="n">
        <v>10</v>
      </c>
      <c r="D106" s="6" t="inlineStr">
        <is>
          <t>Builder Step 1 — Cover Images</t>
        </is>
      </c>
      <c r="E106" s="7" t="inlineStr">
        <is>
          <t>Edge</t>
        </is>
      </c>
      <c r="F106" s="7" t="inlineStr">
        <is>
          <t>P2</t>
        </is>
      </c>
      <c r="G106" s="7" t="inlineStr">
        <is>
          <t>Remove image from gallery.</t>
        </is>
      </c>
      <c r="H106" s="7" t="inlineStr">
        <is>
          <t>—</t>
        </is>
      </c>
      <c r="I106" s="7" t="inlineStr">
        <is>
          <t>Image removed.</t>
        </is>
      </c>
      <c r="J106" s="7" t="inlineStr">
        <is>
          <t>— Not tested</t>
        </is>
      </c>
      <c r="K106" s="7" t="inlineStr">
        <is>
          <t>— Not tested</t>
        </is>
      </c>
      <c r="L106" s="7" t="inlineStr">
        <is>
          <t>— Not tested</t>
        </is>
      </c>
    </row>
    <row r="107">
      <c r="A107" s="6" t="n">
        <v>106</v>
      </c>
      <c r="B107" s="6" t="inlineStr">
        <is>
          <t>1 — Strategies</t>
        </is>
      </c>
      <c r="C107" s="6" t="n">
        <v>10</v>
      </c>
      <c r="D107" s="6" t="inlineStr">
        <is>
          <t>Builder Step 1 — Cover Images</t>
        </is>
      </c>
      <c r="E107" s="7" t="inlineStr">
        <is>
          <t>Edge</t>
        </is>
      </c>
      <c r="F107" s="7" t="inlineStr">
        <is>
          <t>P2</t>
        </is>
      </c>
      <c r="G107" s="7" t="inlineStr">
        <is>
          <t>Click image for preview if supported.</t>
        </is>
      </c>
      <c r="H107" s="7" t="inlineStr">
        <is>
          <t>—</t>
        </is>
      </c>
      <c r="I107" s="7" t="inlineStr">
        <is>
          <t>Preview modal opens.</t>
        </is>
      </c>
      <c r="J107" s="7" t="inlineStr">
        <is>
          <t>— Not tested</t>
        </is>
      </c>
      <c r="K107" s="7" t="inlineStr">
        <is>
          <t>— Not tested</t>
        </is>
      </c>
      <c r="L107" s="7" t="inlineStr">
        <is>
          <t>— Not tested</t>
        </is>
      </c>
    </row>
    <row r="108">
      <c r="A108" s="6" t="n">
        <v>107</v>
      </c>
      <c r="B108" s="6" t="inlineStr">
        <is>
          <t>1 — Strategies</t>
        </is>
      </c>
      <c r="C108" s="6" t="n">
        <v>11</v>
      </c>
      <c r="D108" s="6" t="inlineStr">
        <is>
          <t>Builder Step 2 — Canvas Structure</t>
        </is>
      </c>
      <c r="E108" s="7" t="inlineStr">
        <is>
          <t>Structure</t>
        </is>
      </c>
      <c r="F108" s="7" t="inlineStr">
        <is>
          <t>P0</t>
        </is>
      </c>
      <c r="G108" s="7" t="inlineStr">
        <is>
          <t>Empty canvas initial state.</t>
        </is>
      </c>
      <c r="H108" s="7" t="inlineStr">
        <is>
          <t>—</t>
        </is>
      </c>
      <c r="I108" s="7" t="inlineStr">
        <is>
          <t>Grid/background; palette visible.</t>
        </is>
      </c>
      <c r="J108" s="7" t="inlineStr">
        <is>
          <t>— Not tested</t>
        </is>
      </c>
      <c r="K108" s="7" t="inlineStr">
        <is>
          <t>— Not tested</t>
        </is>
      </c>
      <c r="L108" s="7" t="inlineStr">
        <is>
          <t>— Not tested</t>
        </is>
      </c>
    </row>
    <row r="109">
      <c r="A109" s="6" t="n">
        <v>108</v>
      </c>
      <c r="B109" s="6" t="inlineStr">
        <is>
          <t>1 — Strategies</t>
        </is>
      </c>
      <c r="C109" s="6" t="n">
        <v>11</v>
      </c>
      <c r="D109" s="6" t="inlineStr">
        <is>
          <t>Builder Step 2 — Canvas Structure</t>
        </is>
      </c>
      <c r="E109" s="7" t="inlineStr">
        <is>
          <t>Structure</t>
        </is>
      </c>
      <c r="F109" s="7" t="inlineStr">
        <is>
          <t>P2</t>
        </is>
      </c>
      <c r="G109" s="7" t="inlineStr">
        <is>
          <t>Collapse palette panel.</t>
        </is>
      </c>
      <c r="H109" s="7" t="inlineStr">
        <is>
          <t>—</t>
        </is>
      </c>
      <c r="I109" s="7" t="inlineStr">
        <is>
          <t>More canvas space; re-expand works.</t>
        </is>
      </c>
      <c r="J109" s="7" t="inlineStr">
        <is>
          <t>— Not tested</t>
        </is>
      </c>
      <c r="K109" s="7" t="inlineStr">
        <is>
          <t>— Not tested</t>
        </is>
      </c>
      <c r="L109" s="7" t="inlineStr">
        <is>
          <t>— Not tested</t>
        </is>
      </c>
    </row>
    <row r="110">
      <c r="A110" s="6" t="n">
        <v>109</v>
      </c>
      <c r="B110" s="6" t="inlineStr">
        <is>
          <t>1 — Strategies</t>
        </is>
      </c>
      <c r="C110" s="6" t="n">
        <v>11</v>
      </c>
      <c r="D110" s="6" t="inlineStr">
        <is>
          <t>Builder Step 2 — Canvas Structure</t>
        </is>
      </c>
      <c r="E110" s="7" t="inlineStr">
        <is>
          <t>Structure</t>
        </is>
      </c>
      <c r="F110" s="7" t="inlineStr">
        <is>
          <t>P2</t>
        </is>
      </c>
      <c r="G110" s="7" t="inlineStr">
        <is>
          <t>Collapse inspector panel.</t>
        </is>
      </c>
      <c r="H110" s="7" t="inlineStr">
        <is>
          <t>—</t>
        </is>
      </c>
      <c r="I110" s="7" t="inlineStr">
        <is>
          <t>Toggle works.</t>
        </is>
      </c>
      <c r="J110" s="7" t="inlineStr">
        <is>
          <t>— Not tested</t>
        </is>
      </c>
      <c r="K110" s="7" t="inlineStr">
        <is>
          <t>— Not tested</t>
        </is>
      </c>
      <c r="L110" s="7" t="inlineStr">
        <is>
          <t>— Not tested</t>
        </is>
      </c>
    </row>
    <row r="111">
      <c r="A111" s="6" t="n">
        <v>110</v>
      </c>
      <c r="B111" s="6" t="inlineStr">
        <is>
          <t>1 — Strategies</t>
        </is>
      </c>
      <c r="C111" s="6" t="n">
        <v>11</v>
      </c>
      <c r="D111" s="6" t="inlineStr">
        <is>
          <t>Builder Step 2 — Canvas Structure</t>
        </is>
      </c>
      <c r="E111" s="7" t="inlineStr">
        <is>
          <t>Structure</t>
        </is>
      </c>
      <c r="F111" s="7" t="inlineStr">
        <is>
          <t>P2</t>
        </is>
      </c>
      <c r="G111" s="7" t="inlineStr">
        <is>
          <t>Collapse minimap.</t>
        </is>
      </c>
      <c r="H111" s="7" t="inlineStr">
        <is>
          <t>—</t>
        </is>
      </c>
      <c r="I111" s="7" t="inlineStr">
        <is>
          <t>Minimap hides/shows.</t>
        </is>
      </c>
      <c r="J111" s="7" t="inlineStr">
        <is>
          <t>— Not tested</t>
        </is>
      </c>
      <c r="K111" s="7" t="inlineStr">
        <is>
          <t>— Not tested</t>
        </is>
      </c>
      <c r="L111" s="7" t="inlineStr">
        <is>
          <t>— Not tested</t>
        </is>
      </c>
    </row>
    <row r="112">
      <c r="A112" s="6" t="n">
        <v>111</v>
      </c>
      <c r="B112" s="6" t="inlineStr">
        <is>
          <t>1 — Strategies</t>
        </is>
      </c>
      <c r="C112" s="6" t="n">
        <v>11</v>
      </c>
      <c r="D112" s="6" t="inlineStr">
        <is>
          <t>Builder Step 2 — Groups &amp; Conditions</t>
        </is>
      </c>
      <c r="E112" s="7" t="inlineStr">
        <is>
          <t>Logic</t>
        </is>
      </c>
      <c r="F112" s="7" t="inlineStr">
        <is>
          <t>P0</t>
        </is>
      </c>
      <c r="G112" s="7" t="inlineStr">
        <is>
          <t>Add group from palette.</t>
        </is>
      </c>
      <c r="H112" s="7" t="inlineStr">
        <is>
          <t>—</t>
        </is>
      </c>
      <c r="I112" s="7" t="inlineStr">
        <is>
          <t>Group node on canvas.</t>
        </is>
      </c>
      <c r="J112" s="7" t="inlineStr">
        <is>
          <t>— Not tested</t>
        </is>
      </c>
      <c r="K112" s="7" t="inlineStr">
        <is>
          <t>— Not tested</t>
        </is>
      </c>
      <c r="L112" s="7" t="inlineStr">
        <is>
          <t>— Not tested</t>
        </is>
      </c>
    </row>
    <row r="113">
      <c r="A113" s="6" t="n">
        <v>112</v>
      </c>
      <c r="B113" s="6" t="inlineStr">
        <is>
          <t>1 — Strategies</t>
        </is>
      </c>
      <c r="C113" s="6" t="n">
        <v>11</v>
      </c>
      <c r="D113" s="6" t="inlineStr">
        <is>
          <t>Builder Step 2 — Groups &amp; Conditions</t>
        </is>
      </c>
      <c r="E113" s="7" t="inlineStr">
        <is>
          <t>Logic</t>
        </is>
      </c>
      <c r="F113" s="7" t="inlineStr">
        <is>
          <t>P1</t>
        </is>
      </c>
      <c r="G113" s="7" t="inlineStr">
        <is>
          <t>Rename group.</t>
        </is>
      </c>
      <c r="H113" s="7" t="inlineStr">
        <is>
          <t>new name</t>
        </is>
      </c>
      <c r="I113" s="7" t="inlineStr">
        <is>
          <t>Label updates on canvas.</t>
        </is>
      </c>
      <c r="J113" s="7" t="inlineStr">
        <is>
          <t>— Not tested</t>
        </is>
      </c>
      <c r="K113" s="7" t="inlineStr">
        <is>
          <t>— Not tested</t>
        </is>
      </c>
      <c r="L113" s="7" t="inlineStr">
        <is>
          <t>— Not tested</t>
        </is>
      </c>
    </row>
    <row r="114">
      <c r="A114" s="6" t="n">
        <v>113</v>
      </c>
      <c r="B114" s="6" t="inlineStr">
        <is>
          <t>1 — Strategies</t>
        </is>
      </c>
      <c r="C114" s="6" t="n">
        <v>11</v>
      </c>
      <c r="D114" s="6" t="inlineStr">
        <is>
          <t>Builder Step 2 — Groups &amp; Conditions</t>
        </is>
      </c>
      <c r="E114" s="7" t="inlineStr">
        <is>
          <t>Logic</t>
        </is>
      </c>
      <c r="F114" s="7" t="inlineStr">
        <is>
          <t>P0</t>
        </is>
      </c>
      <c r="G114" s="7" t="inlineStr">
        <is>
          <t>Add condition inside group.</t>
        </is>
      </c>
      <c r="H114" s="7" t="inlineStr">
        <is>
          <t>—</t>
        </is>
      </c>
      <c r="I114" s="7" t="inlineStr">
        <is>
          <t>Condition node appears.</t>
        </is>
      </c>
      <c r="J114" s="7" t="inlineStr">
        <is>
          <t>— Not tested</t>
        </is>
      </c>
      <c r="K114" s="7" t="inlineStr">
        <is>
          <t>— Not tested</t>
        </is>
      </c>
      <c r="L114" s="7" t="inlineStr">
        <is>
          <t>— Not tested</t>
        </is>
      </c>
    </row>
    <row r="115">
      <c r="A115" s="6" t="n">
        <v>114</v>
      </c>
      <c r="B115" s="6" t="inlineStr">
        <is>
          <t>1 — Strategies</t>
        </is>
      </c>
      <c r="C115" s="6" t="n">
        <v>11</v>
      </c>
      <c r="D115" s="6" t="inlineStr">
        <is>
          <t>Builder Step 2 — Groups &amp; Conditions</t>
        </is>
      </c>
      <c r="E115" s="7" t="inlineStr">
        <is>
          <t>Logic</t>
        </is>
      </c>
      <c r="F115" s="7" t="inlineStr">
        <is>
          <t>P1</t>
        </is>
      </c>
      <c r="G115" s="7" t="inlineStr">
        <is>
          <t>Set condition Mandatory.</t>
        </is>
      </c>
      <c r="H115" s="7" t="inlineStr">
        <is>
          <t>—</t>
        </is>
      </c>
      <c r="I115" s="7" t="inlineStr">
        <is>
          <t>Green/mandatory styling.</t>
        </is>
      </c>
      <c r="J115" s="7" t="inlineStr">
        <is>
          <t>— Not tested</t>
        </is>
      </c>
      <c r="K115" s="7" t="inlineStr">
        <is>
          <t>— Not tested</t>
        </is>
      </c>
      <c r="L115" s="7" t="inlineStr">
        <is>
          <t>— Not tested</t>
        </is>
      </c>
    </row>
    <row r="116">
      <c r="A116" s="6" t="n">
        <v>115</v>
      </c>
      <c r="B116" s="6" t="inlineStr">
        <is>
          <t>1 — Strategies</t>
        </is>
      </c>
      <c r="C116" s="6" t="n">
        <v>11</v>
      </c>
      <c r="D116" s="6" t="inlineStr">
        <is>
          <t>Builder Step 2 — Groups &amp; Conditions</t>
        </is>
      </c>
      <c r="E116" s="7" t="inlineStr">
        <is>
          <t>Logic</t>
        </is>
      </c>
      <c r="F116" s="7" t="inlineStr">
        <is>
          <t>P1</t>
        </is>
      </c>
      <c r="G116" s="7" t="inlineStr">
        <is>
          <t>Set condition Optional.</t>
        </is>
      </c>
      <c r="H116" s="7" t="inlineStr">
        <is>
          <t>—</t>
        </is>
      </c>
      <c r="I116" s="7" t="inlineStr">
        <is>
          <t>Optional styling.</t>
        </is>
      </c>
      <c r="J116" s="7" t="inlineStr">
        <is>
          <t>— Not tested</t>
        </is>
      </c>
      <c r="K116" s="7" t="inlineStr">
        <is>
          <t>— Not tested</t>
        </is>
      </c>
      <c r="L116" s="7" t="inlineStr">
        <is>
          <t>— Not tested</t>
        </is>
      </c>
    </row>
    <row r="117">
      <c r="A117" s="6" t="n">
        <v>116</v>
      </c>
      <c r="B117" s="6" t="inlineStr">
        <is>
          <t>1 — Strategies</t>
        </is>
      </c>
      <c r="C117" s="6" t="n">
        <v>11</v>
      </c>
      <c r="D117" s="6" t="inlineStr">
        <is>
          <t>Builder Step 2 — Groups &amp; Conditions</t>
        </is>
      </c>
      <c r="E117" s="7" t="inlineStr">
        <is>
          <t>Logic</t>
        </is>
      </c>
      <c r="F117" s="7" t="inlineStr">
        <is>
          <t>P1</t>
        </is>
      </c>
      <c r="G117" s="7" t="inlineStr">
        <is>
          <t>Set condition Invalidate.</t>
        </is>
      </c>
      <c r="H117" s="7" t="inlineStr">
        <is>
          <t>—</t>
        </is>
      </c>
      <c r="I117" s="7" t="inlineStr">
        <is>
          <t>Red/invalidate styling.</t>
        </is>
      </c>
      <c r="J117" s="7" t="inlineStr">
        <is>
          <t>— Not tested</t>
        </is>
      </c>
      <c r="K117" s="7" t="inlineStr">
        <is>
          <t>— Not tested</t>
        </is>
      </c>
      <c r="L117" s="7" t="inlineStr">
        <is>
          <t>— Not tested</t>
        </is>
      </c>
    </row>
    <row r="118">
      <c r="A118" s="6" t="n">
        <v>117</v>
      </c>
      <c r="B118" s="6" t="inlineStr">
        <is>
          <t>1 — Strategies</t>
        </is>
      </c>
      <c r="C118" s="6" t="n">
        <v>11</v>
      </c>
      <c r="D118" s="6" t="inlineStr">
        <is>
          <t>Builder Step 2 — Groups &amp; Conditions</t>
        </is>
      </c>
      <c r="E118" s="7" t="inlineStr">
        <is>
          <t>Logic</t>
        </is>
      </c>
      <c r="F118" s="7" t="inlineStr">
        <is>
          <t>P1</t>
        </is>
      </c>
      <c r="G118" s="7" t="inlineStr">
        <is>
          <t>Edit condition title (max ~70 chars).</t>
        </is>
      </c>
      <c r="H118" s="7" t="inlineStr">
        <is>
          <t>70 chars</t>
        </is>
      </c>
      <c r="I118" s="7" t="inlineStr">
        <is>
          <t>Accepts; displays on node.</t>
        </is>
      </c>
      <c r="J118" s="7" t="inlineStr">
        <is>
          <t>— Not tested</t>
        </is>
      </c>
      <c r="K118" s="7" t="inlineStr">
        <is>
          <t>— Not tested</t>
        </is>
      </c>
      <c r="L118" s="7" t="inlineStr">
        <is>
          <t>— Not tested</t>
        </is>
      </c>
    </row>
    <row r="119">
      <c r="A119" s="6" t="n">
        <v>118</v>
      </c>
      <c r="B119" s="6" t="inlineStr">
        <is>
          <t>1 — Strategies</t>
        </is>
      </c>
      <c r="C119" s="6" t="n">
        <v>11</v>
      </c>
      <c r="D119" s="6" t="inlineStr">
        <is>
          <t>Builder Step 2 — Groups &amp; Conditions</t>
        </is>
      </c>
      <c r="E119" s="7" t="inlineStr">
        <is>
          <t>Logic</t>
        </is>
      </c>
      <c r="F119" s="7" t="inlineStr">
        <is>
          <t>P2</t>
        </is>
      </c>
      <c r="G119" s="7" t="inlineStr">
        <is>
          <t>Edit condition description long text.</t>
        </is>
      </c>
      <c r="H119" s="7" t="inlineStr">
        <is>
          <t>paragraph</t>
        </is>
      </c>
      <c r="I119" s="7" t="inlineStr">
        <is>
          <t>Inspector scrolls; saves.</t>
        </is>
      </c>
      <c r="J119" s="7" t="inlineStr">
        <is>
          <t>— Not tested</t>
        </is>
      </c>
      <c r="K119" s="7" t="inlineStr">
        <is>
          <t>— Not tested</t>
        </is>
      </c>
      <c r="L119" s="7" t="inlineStr">
        <is>
          <t>— Not tested</t>
        </is>
      </c>
    </row>
    <row r="120">
      <c r="A120" s="6" t="n">
        <v>119</v>
      </c>
      <c r="B120" s="6" t="inlineStr">
        <is>
          <t>1 — Strategies</t>
        </is>
      </c>
      <c r="C120" s="6" t="n">
        <v>11</v>
      </c>
      <c r="D120" s="6" t="inlineStr">
        <is>
          <t>Builder Step 2 — Groups &amp; Conditions</t>
        </is>
      </c>
      <c r="E120" s="7" t="inlineStr">
        <is>
          <t>Logic</t>
        </is>
      </c>
      <c r="F120" s="7" t="inlineStr">
        <is>
          <t>P2</t>
        </is>
      </c>
      <c r="G120" s="7" t="inlineStr">
        <is>
          <t>Add image to condition.</t>
        </is>
      </c>
      <c r="H120" s="7" t="inlineStr">
        <is>
          <t>image</t>
        </is>
      </c>
      <c r="I120" s="7" t="inlineStr">
        <is>
          <t>Image attaches to condition.</t>
        </is>
      </c>
      <c r="J120" s="7" t="inlineStr">
        <is>
          <t>— Not tested</t>
        </is>
      </c>
      <c r="K120" s="7" t="inlineStr">
        <is>
          <t>— Not tested</t>
        </is>
      </c>
      <c r="L120" s="7" t="inlineStr">
        <is>
          <t>— Not tested</t>
        </is>
      </c>
    </row>
    <row r="121">
      <c r="A121" s="6" t="n">
        <v>120</v>
      </c>
      <c r="B121" s="6" t="inlineStr">
        <is>
          <t>1 — Strategies</t>
        </is>
      </c>
      <c r="C121" s="6" t="n">
        <v>11</v>
      </c>
      <c r="D121" s="6" t="inlineStr">
        <is>
          <t>Builder Step 2 — Groups &amp; Conditions</t>
        </is>
      </c>
      <c r="E121" s="7" t="inlineStr">
        <is>
          <t>Logic</t>
        </is>
      </c>
      <c r="F121" s="7" t="inlineStr">
        <is>
          <t>P1</t>
        </is>
      </c>
      <c r="G121" s="7" t="inlineStr">
        <is>
          <t>Delete condition.</t>
        </is>
      </c>
      <c r="H121" s="7" t="inlineStr">
        <is>
          <t>Delete key</t>
        </is>
      </c>
      <c r="I121" s="7" t="inlineStr">
        <is>
          <t>Node removed.</t>
        </is>
      </c>
      <c r="J121" s="7" t="inlineStr">
        <is>
          <t>— Not tested</t>
        </is>
      </c>
      <c r="K121" s="7" t="inlineStr">
        <is>
          <t>— Not tested</t>
        </is>
      </c>
      <c r="L121" s="7" t="inlineStr">
        <is>
          <t>— Not tested</t>
        </is>
      </c>
    </row>
    <row r="122">
      <c r="A122" s="6" t="n">
        <v>121</v>
      </c>
      <c r="B122" s="6" t="inlineStr">
        <is>
          <t>1 — Strategies</t>
        </is>
      </c>
      <c r="C122" s="6" t="n">
        <v>11</v>
      </c>
      <c r="D122" s="6" t="inlineStr">
        <is>
          <t>Builder Step 2 — Groups &amp; Conditions</t>
        </is>
      </c>
      <c r="E122" s="7" t="inlineStr">
        <is>
          <t>Logic</t>
        </is>
      </c>
      <c r="F122" s="7" t="inlineStr">
        <is>
          <t>P1</t>
        </is>
      </c>
      <c r="G122" s="7" t="inlineStr">
        <is>
          <t>Delete group with children.</t>
        </is>
      </c>
      <c r="H122" s="7" t="inlineStr">
        <is>
          <t>—</t>
        </is>
      </c>
      <c r="I122" s="7" t="inlineStr">
        <is>
          <t>Group and children removed or confirm.</t>
        </is>
      </c>
      <c r="J122" s="7" t="inlineStr">
        <is>
          <t>— Not tested</t>
        </is>
      </c>
      <c r="K122" s="7" t="inlineStr">
        <is>
          <t>— Not tested</t>
        </is>
      </c>
      <c r="L122" s="7" t="inlineStr">
        <is>
          <t>— Not tested</t>
        </is>
      </c>
    </row>
    <row r="123">
      <c r="A123" s="6" t="n">
        <v>122</v>
      </c>
      <c r="B123" s="6" t="inlineStr">
        <is>
          <t>1 — Strategies</t>
        </is>
      </c>
      <c r="C123" s="6" t="n">
        <v>11</v>
      </c>
      <c r="D123" s="6" t="inlineStr">
        <is>
          <t>Builder Step 2 — Groups &amp; Conditions</t>
        </is>
      </c>
      <c r="E123" s="7" t="inlineStr">
        <is>
          <t>Logic</t>
        </is>
      </c>
      <c r="F123" s="7" t="inlineStr">
        <is>
          <t>P2</t>
        </is>
      </c>
      <c r="G123" s="7" t="inlineStr">
        <is>
          <t>Connect two nodes with edge if supported.</t>
        </is>
      </c>
      <c r="H123" s="7" t="inlineStr">
        <is>
          <t>—</t>
        </is>
      </c>
      <c r="I123" s="7" t="inlineStr">
        <is>
          <t>Edge line visible.</t>
        </is>
      </c>
      <c r="J123" s="7" t="inlineStr">
        <is>
          <t>— Not tested</t>
        </is>
      </c>
      <c r="K123" s="7" t="inlineStr">
        <is>
          <t>— Not tested</t>
        </is>
      </c>
      <c r="L123" s="7" t="inlineStr">
        <is>
          <t>— Not tested</t>
        </is>
      </c>
    </row>
    <row r="124">
      <c r="A124" s="6" t="n">
        <v>123</v>
      </c>
      <c r="B124" s="6" t="inlineStr">
        <is>
          <t>1 — Strategies</t>
        </is>
      </c>
      <c r="C124" s="6" t="n">
        <v>11</v>
      </c>
      <c r="D124" s="6" t="inlineStr">
        <is>
          <t>Builder Step 2 — Groups &amp; Conditions</t>
        </is>
      </c>
      <c r="E124" s="7" t="inlineStr">
        <is>
          <t>Logic</t>
        </is>
      </c>
      <c r="F124" s="7" t="inlineStr">
        <is>
          <t>P2</t>
        </is>
      </c>
      <c r="G124" s="7" t="inlineStr">
        <is>
          <t>Undo last canvas action if available.</t>
        </is>
      </c>
      <c r="H124" s="7" t="inlineStr">
        <is>
          <t>Ctrl+Z</t>
        </is>
      </c>
      <c r="I124" s="7" t="inlineStr">
        <is>
          <t>Reverts.</t>
        </is>
      </c>
      <c r="J124" s="7" t="inlineStr">
        <is>
          <t>— Not tested</t>
        </is>
      </c>
      <c r="K124" s="7" t="inlineStr">
        <is>
          <t>— Not tested</t>
        </is>
      </c>
      <c r="L124" s="7" t="inlineStr">
        <is>
          <t>— Not tested</t>
        </is>
      </c>
    </row>
    <row r="125">
      <c r="A125" s="6" t="n">
        <v>124</v>
      </c>
      <c r="B125" s="6" t="inlineStr">
        <is>
          <t>1 — Strategies</t>
        </is>
      </c>
      <c r="C125" s="6" t="n">
        <v>11</v>
      </c>
      <c r="D125" s="6" t="inlineStr">
        <is>
          <t>Builder Step 2 — Groups &amp; Conditions</t>
        </is>
      </c>
      <c r="E125" s="7" t="inlineStr">
        <is>
          <t>Logic</t>
        </is>
      </c>
      <c r="F125" s="7" t="inlineStr">
        <is>
          <t>P2</t>
        </is>
      </c>
      <c r="G125" s="7" t="inlineStr">
        <is>
          <t>Print/Export flow.</t>
        </is>
      </c>
      <c r="H125" s="7" t="inlineStr">
        <is>
          <t>toolbar</t>
        </is>
      </c>
      <c r="I125" s="7" t="inlineStr">
        <is>
          <t>Print window or PDF opens.</t>
        </is>
      </c>
      <c r="J125" s="7" t="inlineStr">
        <is>
          <t>— Not tested</t>
        </is>
      </c>
      <c r="K125" s="7" t="inlineStr">
        <is>
          <t>— Not tested</t>
        </is>
      </c>
      <c r="L125" s="7" t="inlineStr">
        <is>
          <t>— Not tested</t>
        </is>
      </c>
    </row>
    <row r="126">
      <c r="A126" s="6" t="n">
        <v>125</v>
      </c>
      <c r="B126" s="6" t="inlineStr">
        <is>
          <t>1 — Strategies</t>
        </is>
      </c>
      <c r="C126" s="6" t="n">
        <v>12</v>
      </c>
      <c r="D126" s="6" t="inlineStr">
        <is>
          <t>Builder Step 3 — Trade Tags</t>
        </is>
      </c>
      <c r="E126" s="7" t="inlineStr">
        <is>
          <t>Configuration</t>
        </is>
      </c>
      <c r="F126" s="7" t="inlineStr">
        <is>
          <t>P0</t>
        </is>
      </c>
      <c r="G126" s="7" t="inlineStr">
        <is>
          <t>Add pre-trade tag.</t>
        </is>
      </c>
      <c r="H126" s="7" t="inlineStr">
        <is>
          <t>name + type</t>
        </is>
      </c>
      <c r="I126" s="7" t="inlineStr">
        <is>
          <t>Appears in pre-trade list.</t>
        </is>
      </c>
      <c r="J126" s="7" t="inlineStr">
        <is>
          <t>— Not tested</t>
        </is>
      </c>
      <c r="K126" s="7" t="inlineStr">
        <is>
          <t>— Not tested</t>
        </is>
      </c>
      <c r="L126" s="7" t="inlineStr">
        <is>
          <t>— Not tested</t>
        </is>
      </c>
    </row>
    <row r="127">
      <c r="A127" s="6" t="n">
        <v>126</v>
      </c>
      <c r="B127" s="6" t="inlineStr">
        <is>
          <t>1 — Strategies</t>
        </is>
      </c>
      <c r="C127" s="6" t="n">
        <v>12</v>
      </c>
      <c r="D127" s="6" t="inlineStr">
        <is>
          <t>Builder Step 3 — Trade Tags</t>
        </is>
      </c>
      <c r="E127" s="7" t="inlineStr">
        <is>
          <t>Configuration</t>
        </is>
      </c>
      <c r="F127" s="7" t="inlineStr">
        <is>
          <t>P0</t>
        </is>
      </c>
      <c r="G127" s="7" t="inlineStr">
        <is>
          <t>Add post-trade tag.</t>
        </is>
      </c>
      <c r="H127" s="7" t="inlineStr">
        <is>
          <t>—</t>
        </is>
      </c>
      <c r="I127" s="7" t="inlineStr">
        <is>
          <t>Post-trade list populated.</t>
        </is>
      </c>
      <c r="J127" s="7" t="inlineStr">
        <is>
          <t>— Not tested</t>
        </is>
      </c>
      <c r="K127" s="7" t="inlineStr">
        <is>
          <t>— Not tested</t>
        </is>
      </c>
      <c r="L127" s="7" t="inlineStr">
        <is>
          <t>— Not tested</t>
        </is>
      </c>
    </row>
    <row r="128">
      <c r="A128" s="6" t="n">
        <v>127</v>
      </c>
      <c r="B128" s="6" t="inlineStr">
        <is>
          <t>1 — Strategies</t>
        </is>
      </c>
      <c r="C128" s="6" t="n">
        <v>12</v>
      </c>
      <c r="D128" s="6" t="inlineStr">
        <is>
          <t>Builder Step 3 — Trade Tags</t>
        </is>
      </c>
      <c r="E128" s="7" t="inlineStr">
        <is>
          <t>Configuration</t>
        </is>
      </c>
      <c r="F128" s="7" t="inlineStr">
        <is>
          <t>P2</t>
        </is>
      </c>
      <c r="G128" s="7" t="inlineStr">
        <is>
          <t>Add divider between tags.</t>
        </is>
      </c>
      <c r="H128" s="7" t="inlineStr">
        <is>
          <t>—</t>
        </is>
      </c>
      <c r="I128" s="7" t="inlineStr">
        <is>
          <t>Visual divider in list.</t>
        </is>
      </c>
      <c r="J128" s="7" t="inlineStr">
        <is>
          <t>— Not tested</t>
        </is>
      </c>
      <c r="K128" s="7" t="inlineStr">
        <is>
          <t>— Not tested</t>
        </is>
      </c>
      <c r="L128" s="7" t="inlineStr">
        <is>
          <t>— Not tested</t>
        </is>
      </c>
    </row>
    <row r="129">
      <c r="A129" s="6" t="n">
        <v>128</v>
      </c>
      <c r="B129" s="6" t="inlineStr">
        <is>
          <t>1 — Strategies</t>
        </is>
      </c>
      <c r="C129" s="6" t="n">
        <v>12</v>
      </c>
      <c r="D129" s="6" t="inlineStr">
        <is>
          <t>Builder Step 3 — Trade Tags</t>
        </is>
      </c>
      <c r="E129" s="7" t="inlineStr">
        <is>
          <t>Configuration</t>
        </is>
      </c>
      <c r="F129" s="7" t="inlineStr">
        <is>
          <t>P1</t>
        </is>
      </c>
      <c r="G129" s="7" t="inlineStr">
        <is>
          <t>Variable type: checkbox tag.</t>
        </is>
      </c>
      <c r="H129" s="7" t="inlineStr">
        <is>
          <t>checkbox</t>
        </is>
      </c>
      <c r="I129" s="7" t="inlineStr">
        <is>
          <t>Renders as checkbox in trade form later.</t>
        </is>
      </c>
      <c r="J129" s="7" t="inlineStr">
        <is>
          <t>— Not tested</t>
        </is>
      </c>
      <c r="K129" s="7" t="inlineStr">
        <is>
          <t>— Not tested</t>
        </is>
      </c>
      <c r="L129" s="7" t="inlineStr">
        <is>
          <t>— Not tested</t>
        </is>
      </c>
    </row>
    <row r="130">
      <c r="A130" s="6" t="n">
        <v>129</v>
      </c>
      <c r="B130" s="6" t="inlineStr">
        <is>
          <t>1 — Strategies</t>
        </is>
      </c>
      <c r="C130" s="6" t="n">
        <v>12</v>
      </c>
      <c r="D130" s="6" t="inlineStr">
        <is>
          <t>Builder Step 3 — Trade Tags</t>
        </is>
      </c>
      <c r="E130" s="7" t="inlineStr">
        <is>
          <t>Configuration</t>
        </is>
      </c>
      <c r="F130" s="7" t="inlineStr">
        <is>
          <t>P1</t>
        </is>
      </c>
      <c r="G130" s="7" t="inlineStr">
        <is>
          <t>Variable type: number tag.</t>
        </is>
      </c>
      <c r="H130" s="7" t="inlineStr">
        <is>
          <t>number</t>
        </is>
      </c>
      <c r="I130" s="7" t="inlineStr">
        <is>
          <t>Numeric input in trade form.</t>
        </is>
      </c>
      <c r="J130" s="7" t="inlineStr">
        <is>
          <t>— Not tested</t>
        </is>
      </c>
      <c r="K130" s="7" t="inlineStr">
        <is>
          <t>— Not tested</t>
        </is>
      </c>
      <c r="L130" s="7" t="inlineStr">
        <is>
          <t>— Not tested</t>
        </is>
      </c>
    </row>
    <row r="131">
      <c r="A131" s="6" t="n">
        <v>130</v>
      </c>
      <c r="B131" s="6" t="inlineStr">
        <is>
          <t>1 — Strategies</t>
        </is>
      </c>
      <c r="C131" s="6" t="n">
        <v>12</v>
      </c>
      <c r="D131" s="6" t="inlineStr">
        <is>
          <t>Builder Step 3 — Trade Tags</t>
        </is>
      </c>
      <c r="E131" s="7" t="inlineStr">
        <is>
          <t>Configuration</t>
        </is>
      </c>
      <c r="F131" s="7" t="inlineStr">
        <is>
          <t>P1</t>
        </is>
      </c>
      <c r="G131" s="7" t="inlineStr">
        <is>
          <t>Variable type: text tag.</t>
        </is>
      </c>
      <c r="H131" s="7" t="inlineStr">
        <is>
          <t>text</t>
        </is>
      </c>
      <c r="I131" s="7" t="inlineStr">
        <is>
          <t>Text input in trade form.</t>
        </is>
      </c>
      <c r="J131" s="7" t="inlineStr">
        <is>
          <t>— Not tested</t>
        </is>
      </c>
      <c r="K131" s="7" t="inlineStr">
        <is>
          <t>— Not tested</t>
        </is>
      </c>
      <c r="L131" s="7" t="inlineStr">
        <is>
          <t>— Not tested</t>
        </is>
      </c>
    </row>
    <row r="132">
      <c r="A132" s="6" t="n">
        <v>131</v>
      </c>
      <c r="B132" s="6" t="inlineStr">
        <is>
          <t>1 — Strategies</t>
        </is>
      </c>
      <c r="C132" s="6" t="n">
        <v>12</v>
      </c>
      <c r="D132" s="6" t="inlineStr">
        <is>
          <t>Builder Step 3 — Trade Tags</t>
        </is>
      </c>
      <c r="E132" s="7" t="inlineStr">
        <is>
          <t>Configuration</t>
        </is>
      </c>
      <c r="F132" s="7" t="inlineStr">
        <is>
          <t>P1</t>
        </is>
      </c>
      <c r="G132" s="7" t="inlineStr">
        <is>
          <t>Delete tag.</t>
        </is>
      </c>
      <c r="H132" s="7" t="inlineStr">
        <is>
          <t>—</t>
        </is>
      </c>
      <c r="I132" s="7" t="inlineStr">
        <is>
          <t>Removed from list.</t>
        </is>
      </c>
      <c r="J132" s="7" t="inlineStr">
        <is>
          <t>— Not tested</t>
        </is>
      </c>
      <c r="K132" s="7" t="inlineStr">
        <is>
          <t>— Not tested</t>
        </is>
      </c>
      <c r="L132" s="7" t="inlineStr">
        <is>
          <t>— Not tested</t>
        </is>
      </c>
    </row>
    <row r="133">
      <c r="A133" s="6" t="n">
        <v>132</v>
      </c>
      <c r="B133" s="6" t="inlineStr">
        <is>
          <t>1 — Strategies</t>
        </is>
      </c>
      <c r="C133" s="6" t="n">
        <v>12</v>
      </c>
      <c r="D133" s="6" t="inlineStr">
        <is>
          <t>Builder Step 3 — Trade Tags</t>
        </is>
      </c>
      <c r="E133" s="7" t="inlineStr">
        <is>
          <t>Configuration</t>
        </is>
      </c>
      <c r="F133" s="7" t="inlineStr">
        <is>
          <t>P2</t>
        </is>
      </c>
      <c r="G133" s="7" t="inlineStr">
        <is>
          <t>Reorder tags if drag supported.</t>
        </is>
      </c>
      <c r="H133" s="7" t="inlineStr">
        <is>
          <t>—</t>
        </is>
      </c>
      <c r="I133" s="7" t="inlineStr">
        <is>
          <t>Order persists on save.</t>
        </is>
      </c>
      <c r="J133" s="7" t="inlineStr">
        <is>
          <t>— Not tested</t>
        </is>
      </c>
      <c r="K133" s="7" t="inlineStr">
        <is>
          <t>— Not tested</t>
        </is>
      </c>
      <c r="L133" s="7" t="inlineStr">
        <is>
          <t>— Not tested</t>
        </is>
      </c>
    </row>
    <row r="134">
      <c r="A134" s="6" t="n">
        <v>133</v>
      </c>
      <c r="B134" s="6" t="inlineStr">
        <is>
          <t>1 — Strategies</t>
        </is>
      </c>
      <c r="C134" s="6" t="n">
        <v>13</v>
      </c>
      <c r="D134" s="6" t="inlineStr">
        <is>
          <t>Builder Step 4 — Review &amp; Persistence</t>
        </is>
      </c>
      <c r="E134" s="7" t="inlineStr">
        <is>
          <t>Logic</t>
        </is>
      </c>
      <c r="F134" s="7" t="inlineStr">
        <is>
          <t>P0</t>
        </is>
      </c>
      <c r="G134" s="7" t="inlineStr">
        <is>
          <t>Review: General Info block shows all Step 1 data.</t>
        </is>
      </c>
      <c r="H134" s="7" t="inlineStr">
        <is>
          <t>—</t>
        </is>
      </c>
      <c r="I134" s="7" t="inlineStr">
        <is>
          <t>Matches inputs.</t>
        </is>
      </c>
      <c r="J134" s="7" t="inlineStr">
        <is>
          <t>— Not tested</t>
        </is>
      </c>
      <c r="K134" s="7" t="inlineStr">
        <is>
          <t>— Not tested</t>
        </is>
      </c>
      <c r="L134" s="7" t="inlineStr">
        <is>
          <t>— Not tested</t>
        </is>
      </c>
    </row>
    <row r="135">
      <c r="A135" s="6" t="n">
        <v>134</v>
      </c>
      <c r="B135" s="6" t="inlineStr">
        <is>
          <t>1 — Strategies</t>
        </is>
      </c>
      <c r="C135" s="6" t="n">
        <v>13</v>
      </c>
      <c r="D135" s="6" t="inlineStr">
        <is>
          <t>Builder Step 4 — Review &amp; Persistence</t>
        </is>
      </c>
      <c r="E135" s="7" t="inlineStr">
        <is>
          <t>Logic</t>
        </is>
      </c>
      <c r="F135" s="7" t="inlineStr">
        <is>
          <t>P0</t>
        </is>
      </c>
      <c r="G135" s="7" t="inlineStr">
        <is>
          <t>Review: flow group/condition counts.</t>
        </is>
      </c>
      <c r="H135" s="7" t="inlineStr">
        <is>
          <t>—</t>
        </is>
      </c>
      <c r="I135" s="7" t="inlineStr">
        <is>
          <t>Match canvas.</t>
        </is>
      </c>
      <c r="J135" s="7" t="inlineStr">
        <is>
          <t>— Not tested</t>
        </is>
      </c>
      <c r="K135" s="7" t="inlineStr">
        <is>
          <t>— Not tested</t>
        </is>
      </c>
      <c r="L135" s="7" t="inlineStr">
        <is>
          <t>— Not tested</t>
        </is>
      </c>
    </row>
    <row r="136">
      <c r="A136" s="6" t="n">
        <v>135</v>
      </c>
      <c r="B136" s="6" t="inlineStr">
        <is>
          <t>1 — Strategies</t>
        </is>
      </c>
      <c r="C136" s="6" t="n">
        <v>13</v>
      </c>
      <c r="D136" s="6" t="inlineStr">
        <is>
          <t>Builder Step 4 — Review &amp; Persistence</t>
        </is>
      </c>
      <c r="E136" s="7" t="inlineStr">
        <is>
          <t>Logic</t>
        </is>
      </c>
      <c r="F136" s="7" t="inlineStr">
        <is>
          <t>P1</t>
        </is>
      </c>
      <c r="G136" s="7" t="inlineStr">
        <is>
          <t>Review: readiness checklist red/green.</t>
        </is>
      </c>
      <c r="H136" s="7" t="inlineStr">
        <is>
          <t>—</t>
        </is>
      </c>
      <c r="I136" s="7" t="inlineStr">
        <is>
          <t>Incomplete items flagged.</t>
        </is>
      </c>
      <c r="J136" s="7" t="inlineStr">
        <is>
          <t>— Not tested</t>
        </is>
      </c>
      <c r="K136" s="7" t="inlineStr">
        <is>
          <t>— Not tested</t>
        </is>
      </c>
      <c r="L136" s="7" t="inlineStr">
        <is>
          <t>— Not tested</t>
        </is>
      </c>
    </row>
    <row r="137">
      <c r="A137" s="6" t="n">
        <v>136</v>
      </c>
      <c r="B137" s="6" t="inlineStr">
        <is>
          <t>1 — Strategies</t>
        </is>
      </c>
      <c r="C137" s="6" t="n">
        <v>13</v>
      </c>
      <c r="D137" s="6" t="inlineStr">
        <is>
          <t>Builder Step 4 — Review &amp; Persistence</t>
        </is>
      </c>
      <c r="E137" s="7" t="inlineStr">
        <is>
          <t>Logic</t>
        </is>
      </c>
      <c r="F137" s="7" t="inlineStr">
        <is>
          <t>P0</t>
        </is>
      </c>
      <c r="G137" s="7" t="inlineStr">
        <is>
          <t>Save Strategy → appears in bank.</t>
        </is>
      </c>
      <c r="H137" s="7" t="inlineStr">
        <is>
          <t>—</t>
        </is>
      </c>
      <c r="I137" s="7" t="inlineStr">
        <is>
          <t>New card visible.</t>
        </is>
      </c>
      <c r="J137" s="7" t="inlineStr">
        <is>
          <t>— Not tested</t>
        </is>
      </c>
      <c r="K137" s="7" t="inlineStr">
        <is>
          <t>— Not tested</t>
        </is>
      </c>
      <c r="L137" s="7" t="inlineStr">
        <is>
          <t>— Not tested</t>
        </is>
      </c>
    </row>
    <row r="138">
      <c r="A138" s="6" t="n">
        <v>137</v>
      </c>
      <c r="B138" s="6" t="inlineStr">
        <is>
          <t>1 — Strategies</t>
        </is>
      </c>
      <c r="C138" s="6" t="n">
        <v>13</v>
      </c>
      <c r="D138" s="6" t="inlineStr">
        <is>
          <t>Builder Step 4 — Review &amp; Persistence</t>
        </is>
      </c>
      <c r="E138" s="7" t="inlineStr">
        <is>
          <t>Logic</t>
        </is>
      </c>
      <c r="F138" s="7" t="inlineStr">
        <is>
          <t>P0</t>
        </is>
      </c>
      <c r="G138" s="7" t="inlineStr">
        <is>
          <t>Reload page → edit saved strategy.</t>
        </is>
      </c>
      <c r="H138" s="7" t="inlineStr">
        <is>
          <t>—</t>
        </is>
      </c>
      <c r="I138" s="7" t="inlineStr">
        <is>
          <t>All 4 steps restore.</t>
        </is>
      </c>
      <c r="J138" s="7" t="inlineStr">
        <is>
          <t>— Not tested</t>
        </is>
      </c>
      <c r="K138" s="7" t="inlineStr">
        <is>
          <t>— Not tested</t>
        </is>
      </c>
      <c r="L138" s="7" t="inlineStr">
        <is>
          <t>— Not tested</t>
        </is>
      </c>
    </row>
    <row r="139">
      <c r="A139" s="6" t="n">
        <v>138</v>
      </c>
      <c r="B139" s="6" t="inlineStr">
        <is>
          <t>1 — Strategies</t>
        </is>
      </c>
      <c r="C139" s="6" t="n">
        <v>13</v>
      </c>
      <c r="D139" s="6" t="inlineStr">
        <is>
          <t>Builder Step 4 — Review &amp; Persistence</t>
        </is>
      </c>
      <c r="E139" s="7" t="inlineStr">
        <is>
          <t>Logic</t>
        </is>
      </c>
      <c r="F139" s="7" t="inlineStr">
        <is>
          <t>P1</t>
        </is>
      </c>
      <c r="G139" s="7" t="inlineStr">
        <is>
          <t>Copy strategy → edit copy independently.</t>
        </is>
      </c>
      <c r="H139" s="7" t="inlineStr">
        <is>
          <t>—</t>
        </is>
      </c>
      <c r="I139" s="7" t="inlineStr">
        <is>
          <t>Changes don't affect original.</t>
        </is>
      </c>
      <c r="J139" s="7" t="inlineStr">
        <is>
          <t>— Not tested</t>
        </is>
      </c>
      <c r="K139" s="7" t="inlineStr">
        <is>
          <t>— Not tested</t>
        </is>
      </c>
      <c r="L139" s="7" t="inlineStr">
        <is>
          <t>— Not tested</t>
        </is>
      </c>
    </row>
    <row r="140">
      <c r="A140" s="6" t="n">
        <v>139</v>
      </c>
      <c r="B140" s="6" t="inlineStr">
        <is>
          <t>1 — Strategies</t>
        </is>
      </c>
      <c r="C140" s="6" t="n">
        <v>13</v>
      </c>
      <c r="D140" s="6" t="inlineStr">
        <is>
          <t>Builder Step 4 — Review &amp; Persistence</t>
        </is>
      </c>
      <c r="E140" s="7" t="inlineStr">
        <is>
          <t>Logic</t>
        </is>
      </c>
      <c r="F140" s="7" t="inlineStr">
        <is>
          <t>P2</t>
        </is>
      </c>
      <c r="G140" s="7" t="inlineStr">
        <is>
          <t>Save with slow network (throttle DevTools).</t>
        </is>
      </c>
      <c r="H140" s="7" t="inlineStr">
        <is>
          <t>—</t>
        </is>
      </c>
      <c r="I140" s="7" t="inlineStr">
        <is>
          <t>Saving indicator; error if fail; no duplicate.</t>
        </is>
      </c>
      <c r="J140" s="7" t="inlineStr">
        <is>
          <t>— Not tested</t>
        </is>
      </c>
      <c r="K140" s="7" t="inlineStr">
        <is>
          <t>— Not tested</t>
        </is>
      </c>
      <c r="L140" s="7" t="inlineStr">
        <is>
          <t>— Not tested</t>
        </is>
      </c>
    </row>
    <row r="141">
      <c r="A141" s="8" t="n">
        <v>140</v>
      </c>
      <c r="B141" s="8" t="inlineStr">
        <is>
          <t>2 — Sessions</t>
        </is>
      </c>
      <c r="C141" s="8" t="n">
        <v>14</v>
      </c>
      <c r="D141" s="8" t="inlineStr">
        <is>
          <t>Sessions Page — Shell &amp; Stats</t>
        </is>
      </c>
      <c r="E141" s="7" t="inlineStr">
        <is>
          <t>Structure</t>
        </is>
      </c>
      <c r="F141" s="7" t="inlineStr">
        <is>
          <t>P0</t>
        </is>
      </c>
      <c r="G141" s="7" t="inlineStr">
        <is>
          <t>Open Backtest via left nav.</t>
        </is>
      </c>
      <c r="H141" s="7" t="inlineStr">
        <is>
          <t>—</t>
        </is>
      </c>
      <c r="I141" s="7" t="inlineStr">
        <is>
          <t>Backtesting Sessions page.</t>
        </is>
      </c>
      <c r="J141" s="7" t="inlineStr">
        <is>
          <t>— Not tested</t>
        </is>
      </c>
      <c r="K141" s="7" t="inlineStr">
        <is>
          <t>— Not tested</t>
        </is>
      </c>
      <c r="L141" s="7" t="inlineStr">
        <is>
          <t>— Not tested</t>
        </is>
      </c>
    </row>
    <row r="142">
      <c r="A142" s="8" t="n">
        <v>141</v>
      </c>
      <c r="B142" s="8" t="inlineStr">
        <is>
          <t>2 — Sessions</t>
        </is>
      </c>
      <c r="C142" s="8" t="n">
        <v>14</v>
      </c>
      <c r="D142" s="8" t="inlineStr">
        <is>
          <t>Sessions Page — Shell &amp; Stats</t>
        </is>
      </c>
      <c r="E142" s="7" t="inlineStr">
        <is>
          <t>Structure</t>
        </is>
      </c>
      <c r="F142" s="7" t="inlineStr">
        <is>
          <t>P1</t>
        </is>
      </c>
      <c r="G142" s="7" t="inlineStr">
        <is>
          <t>Verify stats tile: Sessions &amp; Mode (Std/Prop/Journal).</t>
        </is>
      </c>
      <c r="H142" s="7" t="inlineStr">
        <is>
          <t>—</t>
        </is>
      </c>
      <c r="I142" s="7" t="inlineStr">
        <is>
          <t>Counts match list.</t>
        </is>
      </c>
      <c r="J142" s="7" t="inlineStr">
        <is>
          <t>— Not tested</t>
        </is>
      </c>
      <c r="K142" s="7" t="inlineStr">
        <is>
          <t>— Not tested</t>
        </is>
      </c>
      <c r="L142" s="7" t="inlineStr">
        <is>
          <t>— Not tested</t>
        </is>
      </c>
    </row>
    <row r="143">
      <c r="A143" s="8" t="n">
        <v>142</v>
      </c>
      <c r="B143" s="8" t="inlineStr">
        <is>
          <t>2 — Sessions</t>
        </is>
      </c>
      <c r="C143" s="8" t="n">
        <v>14</v>
      </c>
      <c r="D143" s="8" t="inlineStr">
        <is>
          <t>Sessions Page — Shell &amp; Stats</t>
        </is>
      </c>
      <c r="E143" s="7" t="inlineStr">
        <is>
          <t>Structure</t>
        </is>
      </c>
      <c r="F143" s="7" t="inlineStr">
        <is>
          <t>P1</t>
        </is>
      </c>
      <c r="G143" s="7" t="inlineStr">
        <is>
          <t>Hover Total Trades chart bar.</t>
        </is>
      </c>
      <c r="H143" s="7" t="inlineStr">
        <is>
          <t>—</t>
        </is>
      </c>
      <c r="I143" s="7" t="inlineStr">
        <is>
          <t>Tooltip with session details.</t>
        </is>
      </c>
      <c r="J143" s="7" t="inlineStr">
        <is>
          <t>— Not tested</t>
        </is>
      </c>
      <c r="K143" s="7" t="inlineStr">
        <is>
          <t>— Not tested</t>
        </is>
      </c>
      <c r="L143" s="7" t="inlineStr">
        <is>
          <t>— Not tested</t>
        </is>
      </c>
    </row>
    <row r="144">
      <c r="A144" s="8" t="n">
        <v>143</v>
      </c>
      <c r="B144" s="8" t="inlineStr">
        <is>
          <t>2 — Sessions</t>
        </is>
      </c>
      <c r="C144" s="8" t="n">
        <v>14</v>
      </c>
      <c r="D144" s="8" t="inlineStr">
        <is>
          <t>Sessions Page — Shell &amp; Stats</t>
        </is>
      </c>
      <c r="E144" s="7" t="inlineStr">
        <is>
          <t>Structure</t>
        </is>
      </c>
      <c r="F144" s="7" t="inlineStr">
        <is>
          <t>P2</t>
        </is>
      </c>
      <c r="G144" s="7" t="inlineStr">
        <is>
          <t>Profitable Sessions % arc.</t>
        </is>
      </c>
      <c r="H144" s="7" t="inlineStr">
        <is>
          <t>—</t>
        </is>
      </c>
      <c r="I144" s="7" t="inlineStr">
        <is>
          <t>Percentage displayed.</t>
        </is>
      </c>
      <c r="J144" s="7" t="inlineStr">
        <is>
          <t>— Not tested</t>
        </is>
      </c>
      <c r="K144" s="7" t="inlineStr">
        <is>
          <t>— Not tested</t>
        </is>
      </c>
      <c r="L144" s="7" t="inlineStr">
        <is>
          <t>— Not tested</t>
        </is>
      </c>
    </row>
    <row r="145">
      <c r="A145" s="8" t="n">
        <v>144</v>
      </c>
      <c r="B145" s="8" t="inlineStr">
        <is>
          <t>2 — Sessions</t>
        </is>
      </c>
      <c r="C145" s="8" t="n">
        <v>14</v>
      </c>
      <c r="D145" s="8" t="inlineStr">
        <is>
          <t>Sessions Page — Shell &amp; Stats</t>
        </is>
      </c>
      <c r="E145" s="7" t="inlineStr">
        <is>
          <t>Structure</t>
        </is>
      </c>
      <c r="F145" s="7" t="inlineStr">
        <is>
          <t>P2</t>
        </is>
      </c>
      <c r="G145" s="7" t="inlineStr">
        <is>
          <t>Days Tested dots/bars.</t>
        </is>
      </c>
      <c r="H145" s="7" t="inlineStr">
        <is>
          <t>—</t>
        </is>
      </c>
      <c r="I145" s="7" t="inlineStr">
        <is>
          <t>Visual renders.</t>
        </is>
      </c>
      <c r="J145" s="7" t="inlineStr">
        <is>
          <t>— Not tested</t>
        </is>
      </c>
      <c r="K145" s="7" t="inlineStr">
        <is>
          <t>— Not tested</t>
        </is>
      </c>
      <c r="L145" s="7" t="inlineStr">
        <is>
          <t>— Not tested</t>
        </is>
      </c>
    </row>
    <row r="146">
      <c r="A146" s="8" t="n">
        <v>145</v>
      </c>
      <c r="B146" s="8" t="inlineStr">
        <is>
          <t>2 — Sessions</t>
        </is>
      </c>
      <c r="C146" s="8" t="n">
        <v>14</v>
      </c>
      <c r="D146" s="8" t="inlineStr">
        <is>
          <t>Sessions Page — Shell &amp; Stats</t>
        </is>
      </c>
      <c r="E146" s="7" t="inlineStr">
        <is>
          <t>Structure</t>
        </is>
      </c>
      <c r="F146" s="7" t="inlineStr">
        <is>
          <t>P2</t>
        </is>
      </c>
      <c r="G146" s="7" t="inlineStr">
        <is>
          <t>Tickers Tested count.</t>
        </is>
      </c>
      <c r="H146" s="7" t="inlineStr">
        <is>
          <t>—</t>
        </is>
      </c>
      <c r="I146" s="7" t="inlineStr">
        <is>
          <t>Matches unique tickers.</t>
        </is>
      </c>
      <c r="J146" s="7" t="inlineStr">
        <is>
          <t>— Not tested</t>
        </is>
      </c>
      <c r="K146" s="7" t="inlineStr">
        <is>
          <t>— Not tested</t>
        </is>
      </c>
      <c r="L146" s="7" t="inlineStr">
        <is>
          <t>— Not tested</t>
        </is>
      </c>
    </row>
    <row r="147">
      <c r="A147" s="8" t="n">
        <v>146</v>
      </c>
      <c r="B147" s="8" t="inlineStr">
        <is>
          <t>2 — Sessions</t>
        </is>
      </c>
      <c r="C147" s="8" t="n">
        <v>15</v>
      </c>
      <c r="D147" s="8" t="inlineStr">
        <is>
          <t>Sessions — Filters &amp; Sort</t>
        </is>
      </c>
      <c r="E147" s="7" t="inlineStr">
        <is>
          <t>Configuration</t>
        </is>
      </c>
      <c r="F147" s="7" t="inlineStr">
        <is>
          <t>P1</t>
        </is>
      </c>
      <c r="G147" s="7" t="inlineStr">
        <is>
          <t>Click filter tab **All**.</t>
        </is>
      </c>
      <c r="H147" s="7" t="inlineStr">
        <is>
          <t>All</t>
        </is>
      </c>
      <c r="I147" s="7" t="inlineStr">
        <is>
          <t>Only All sessions shown; badge count correct.</t>
        </is>
      </c>
      <c r="J147" s="7" t="inlineStr">
        <is>
          <t>— Not tested</t>
        </is>
      </c>
      <c r="K147" s="7" t="inlineStr">
        <is>
          <t>— Not tested</t>
        </is>
      </c>
      <c r="L147" s="7" t="inlineStr">
        <is>
          <t>— Not tested</t>
        </is>
      </c>
    </row>
    <row r="148">
      <c r="A148" s="8" t="n">
        <v>147</v>
      </c>
      <c r="B148" s="8" t="inlineStr">
        <is>
          <t>2 — Sessions</t>
        </is>
      </c>
      <c r="C148" s="8" t="n">
        <v>15</v>
      </c>
      <c r="D148" s="8" t="inlineStr">
        <is>
          <t>Sessions — Filters &amp; Sort</t>
        </is>
      </c>
      <c r="E148" s="7" t="inlineStr">
        <is>
          <t>Configuration</t>
        </is>
      </c>
      <c r="F148" s="7" t="inlineStr">
        <is>
          <t>P1</t>
        </is>
      </c>
      <c r="G148" s="7" t="inlineStr">
        <is>
          <t>Click filter tab **Not Started**.</t>
        </is>
      </c>
      <c r="H148" s="7" t="inlineStr">
        <is>
          <t>Not Started</t>
        </is>
      </c>
      <c r="I148" s="7" t="inlineStr">
        <is>
          <t>Only Not Started sessions shown; badge count correct.</t>
        </is>
      </c>
      <c r="J148" s="7" t="inlineStr">
        <is>
          <t>— Not tested</t>
        </is>
      </c>
      <c r="K148" s="7" t="inlineStr">
        <is>
          <t>— Not tested</t>
        </is>
      </c>
      <c r="L148" s="7" t="inlineStr">
        <is>
          <t>— Not tested</t>
        </is>
      </c>
    </row>
    <row r="149">
      <c r="A149" s="8" t="n">
        <v>148</v>
      </c>
      <c r="B149" s="8" t="inlineStr">
        <is>
          <t>2 — Sessions</t>
        </is>
      </c>
      <c r="C149" s="8" t="n">
        <v>15</v>
      </c>
      <c r="D149" s="8" t="inlineStr">
        <is>
          <t>Sessions — Filters &amp; Sort</t>
        </is>
      </c>
      <c r="E149" s="7" t="inlineStr">
        <is>
          <t>Configuration</t>
        </is>
      </c>
      <c r="F149" s="7" t="inlineStr">
        <is>
          <t>P1</t>
        </is>
      </c>
      <c r="G149" s="7" t="inlineStr">
        <is>
          <t>Click filter tab **Active**.</t>
        </is>
      </c>
      <c r="H149" s="7" t="inlineStr">
        <is>
          <t>Active</t>
        </is>
      </c>
      <c r="I149" s="7" t="inlineStr">
        <is>
          <t>Only Active sessions shown; badge count correct.</t>
        </is>
      </c>
      <c r="J149" s="7" t="inlineStr">
        <is>
          <t>— Not tested</t>
        </is>
      </c>
      <c r="K149" s="7" t="inlineStr">
        <is>
          <t>— Not tested</t>
        </is>
      </c>
      <c r="L149" s="7" t="inlineStr">
        <is>
          <t>— Not tested</t>
        </is>
      </c>
    </row>
    <row r="150">
      <c r="A150" s="8" t="n">
        <v>149</v>
      </c>
      <c r="B150" s="8" t="inlineStr">
        <is>
          <t>2 — Sessions</t>
        </is>
      </c>
      <c r="C150" s="8" t="n">
        <v>15</v>
      </c>
      <c r="D150" s="8" t="inlineStr">
        <is>
          <t>Sessions — Filters &amp; Sort</t>
        </is>
      </c>
      <c r="E150" s="7" t="inlineStr">
        <is>
          <t>Configuration</t>
        </is>
      </c>
      <c r="F150" s="7" t="inlineStr">
        <is>
          <t>P1</t>
        </is>
      </c>
      <c r="G150" s="7" t="inlineStr">
        <is>
          <t>Click filter tab **Completed**.</t>
        </is>
      </c>
      <c r="H150" s="7" t="inlineStr">
        <is>
          <t>Completed</t>
        </is>
      </c>
      <c r="I150" s="7" t="inlineStr">
        <is>
          <t>Only Completed sessions shown; badge count correct.</t>
        </is>
      </c>
      <c r="J150" s="7" t="inlineStr">
        <is>
          <t>— Not tested</t>
        </is>
      </c>
      <c r="K150" s="7" t="inlineStr">
        <is>
          <t>— Not tested</t>
        </is>
      </c>
      <c r="L150" s="7" t="inlineStr">
        <is>
          <t>— Not tested</t>
        </is>
      </c>
    </row>
    <row r="151">
      <c r="A151" s="8" t="n">
        <v>150</v>
      </c>
      <c r="B151" s="8" t="inlineStr">
        <is>
          <t>2 — Sessions</t>
        </is>
      </c>
      <c r="C151" s="8" t="n">
        <v>15</v>
      </c>
      <c r="D151" s="8" t="inlineStr">
        <is>
          <t>Sessions — Filters &amp; Sort</t>
        </is>
      </c>
      <c r="E151" s="7" t="inlineStr">
        <is>
          <t>Configuration</t>
        </is>
      </c>
      <c r="F151" s="7" t="inlineStr">
        <is>
          <t>P1</t>
        </is>
      </c>
      <c r="G151" s="7" t="inlineStr">
        <is>
          <t>Click filter tab **Standard**.</t>
        </is>
      </c>
      <c r="H151" s="7" t="inlineStr">
        <is>
          <t>Standard</t>
        </is>
      </c>
      <c r="I151" s="7" t="inlineStr">
        <is>
          <t>Only Standard sessions shown; badge count correct.</t>
        </is>
      </c>
      <c r="J151" s="7" t="inlineStr">
        <is>
          <t>— Not tested</t>
        </is>
      </c>
      <c r="K151" s="7" t="inlineStr">
        <is>
          <t>— Not tested</t>
        </is>
      </c>
      <c r="L151" s="7" t="inlineStr">
        <is>
          <t>— Not tested</t>
        </is>
      </c>
    </row>
    <row r="152">
      <c r="A152" s="8" t="n">
        <v>151</v>
      </c>
      <c r="B152" s="8" t="inlineStr">
        <is>
          <t>2 — Sessions</t>
        </is>
      </c>
      <c r="C152" s="8" t="n">
        <v>15</v>
      </c>
      <c r="D152" s="8" t="inlineStr">
        <is>
          <t>Sessions — Filters &amp; Sort</t>
        </is>
      </c>
      <c r="E152" s="7" t="inlineStr">
        <is>
          <t>Configuration</t>
        </is>
      </c>
      <c r="F152" s="7" t="inlineStr">
        <is>
          <t>P1</t>
        </is>
      </c>
      <c r="G152" s="7" t="inlineStr">
        <is>
          <t>Click filter tab **Prop Firm**.</t>
        </is>
      </c>
      <c r="H152" s="7" t="inlineStr">
        <is>
          <t>Prop Firm</t>
        </is>
      </c>
      <c r="I152" s="7" t="inlineStr">
        <is>
          <t>Only Prop Firm sessions shown; badge count correct.</t>
        </is>
      </c>
      <c r="J152" s="7" t="inlineStr">
        <is>
          <t>— Not tested</t>
        </is>
      </c>
      <c r="K152" s="7" t="inlineStr">
        <is>
          <t>— Not tested</t>
        </is>
      </c>
      <c r="L152" s="7" t="inlineStr">
        <is>
          <t>— Not tested</t>
        </is>
      </c>
    </row>
    <row r="153">
      <c r="A153" s="8" t="n">
        <v>152</v>
      </c>
      <c r="B153" s="8" t="inlineStr">
        <is>
          <t>2 — Sessions</t>
        </is>
      </c>
      <c r="C153" s="8" t="n">
        <v>15</v>
      </c>
      <c r="D153" s="8" t="inlineStr">
        <is>
          <t>Sessions — Filters &amp; Sort</t>
        </is>
      </c>
      <c r="E153" s="7" t="inlineStr">
        <is>
          <t>Configuration</t>
        </is>
      </c>
      <c r="F153" s="7" t="inlineStr">
        <is>
          <t>P1</t>
        </is>
      </c>
      <c r="G153" s="7" t="inlineStr">
        <is>
          <t>Click filter tab **Journal**.</t>
        </is>
      </c>
      <c r="H153" s="7" t="inlineStr">
        <is>
          <t>Journal</t>
        </is>
      </c>
      <c r="I153" s="7" t="inlineStr">
        <is>
          <t>Only Journal sessions shown; badge count correct.</t>
        </is>
      </c>
      <c r="J153" s="7" t="inlineStr">
        <is>
          <t>— Not tested</t>
        </is>
      </c>
      <c r="K153" s="7" t="inlineStr">
        <is>
          <t>— Not tested</t>
        </is>
      </c>
      <c r="L153" s="7" t="inlineStr">
        <is>
          <t>— Not tested</t>
        </is>
      </c>
    </row>
    <row r="154">
      <c r="A154" s="8" t="n">
        <v>153</v>
      </c>
      <c r="B154" s="8" t="inlineStr">
        <is>
          <t>2 — Sessions</t>
        </is>
      </c>
      <c r="C154" s="8" t="n">
        <v>15</v>
      </c>
      <c r="D154" s="8" t="inlineStr">
        <is>
          <t>Sessions — Filters &amp; Sort</t>
        </is>
      </c>
      <c r="E154" s="7" t="inlineStr">
        <is>
          <t>Configuration</t>
        </is>
      </c>
      <c r="F154" s="7" t="inlineStr">
        <is>
          <t>P2</t>
        </is>
      </c>
      <c r="G154" s="7" t="inlineStr">
        <is>
          <t>Sort cards by **Name** ascending then descending.</t>
        </is>
      </c>
      <c r="H154" s="7" t="inlineStr">
        <is>
          <t>Name</t>
        </is>
      </c>
      <c r="I154" s="7" t="inlineStr">
        <is>
          <t>Order changes correctly both directions.</t>
        </is>
      </c>
      <c r="J154" s="7" t="inlineStr">
        <is>
          <t>— Not tested</t>
        </is>
      </c>
      <c r="K154" s="7" t="inlineStr">
        <is>
          <t>— Not tested</t>
        </is>
      </c>
      <c r="L154" s="7" t="inlineStr">
        <is>
          <t>— Not tested</t>
        </is>
      </c>
    </row>
    <row r="155">
      <c r="A155" s="8" t="n">
        <v>154</v>
      </c>
      <c r="B155" s="8" t="inlineStr">
        <is>
          <t>2 — Sessions</t>
        </is>
      </c>
      <c r="C155" s="8" t="n">
        <v>15</v>
      </c>
      <c r="D155" s="8" t="inlineStr">
        <is>
          <t>Sessions — Filters &amp; Sort</t>
        </is>
      </c>
      <c r="E155" s="7" t="inlineStr">
        <is>
          <t>Configuration</t>
        </is>
      </c>
      <c r="F155" s="7" t="inlineStr">
        <is>
          <t>P2</t>
        </is>
      </c>
      <c r="G155" s="7" t="inlineStr">
        <is>
          <t>Sort cards by **Strategy** ascending then descending.</t>
        </is>
      </c>
      <c r="H155" s="7" t="inlineStr">
        <is>
          <t>Strategy</t>
        </is>
      </c>
      <c r="I155" s="7" t="inlineStr">
        <is>
          <t>Order changes correctly both directions.</t>
        </is>
      </c>
      <c r="J155" s="7" t="inlineStr">
        <is>
          <t>— Not tested</t>
        </is>
      </c>
      <c r="K155" s="7" t="inlineStr">
        <is>
          <t>— Not tested</t>
        </is>
      </c>
      <c r="L155" s="7" t="inlineStr">
        <is>
          <t>— Not tested</t>
        </is>
      </c>
    </row>
    <row r="156">
      <c r="A156" s="8" t="n">
        <v>155</v>
      </c>
      <c r="B156" s="8" t="inlineStr">
        <is>
          <t>2 — Sessions</t>
        </is>
      </c>
      <c r="C156" s="8" t="n">
        <v>15</v>
      </c>
      <c r="D156" s="8" t="inlineStr">
        <is>
          <t>Sessions — Filters &amp; Sort</t>
        </is>
      </c>
      <c r="E156" s="7" t="inlineStr">
        <is>
          <t>Configuration</t>
        </is>
      </c>
      <c r="F156" s="7" t="inlineStr">
        <is>
          <t>P2</t>
        </is>
      </c>
      <c r="G156" s="7" t="inlineStr">
        <is>
          <t>Sort cards by **Date Range** ascending then descending.</t>
        </is>
      </c>
      <c r="H156" s="7" t="inlineStr">
        <is>
          <t>Date Range</t>
        </is>
      </c>
      <c r="I156" s="7" t="inlineStr">
        <is>
          <t>Order changes correctly both directions.</t>
        </is>
      </c>
      <c r="J156" s="7" t="inlineStr">
        <is>
          <t>— Not tested</t>
        </is>
      </c>
      <c r="K156" s="7" t="inlineStr">
        <is>
          <t>— Not tested</t>
        </is>
      </c>
      <c r="L156" s="7" t="inlineStr">
        <is>
          <t>— Not tested</t>
        </is>
      </c>
    </row>
    <row r="157">
      <c r="A157" s="8" t="n">
        <v>156</v>
      </c>
      <c r="B157" s="8" t="inlineStr">
        <is>
          <t>2 — Sessions</t>
        </is>
      </c>
      <c r="C157" s="8" t="n">
        <v>15</v>
      </c>
      <c r="D157" s="8" t="inlineStr">
        <is>
          <t>Sessions — Filters &amp; Sort</t>
        </is>
      </c>
      <c r="E157" s="7" t="inlineStr">
        <is>
          <t>Configuration</t>
        </is>
      </c>
      <c r="F157" s="7" t="inlineStr">
        <is>
          <t>P2</t>
        </is>
      </c>
      <c r="G157" s="7" t="inlineStr">
        <is>
          <t>Sort cards by **Balance** ascending then descending.</t>
        </is>
      </c>
      <c r="H157" s="7" t="inlineStr">
        <is>
          <t>Balance</t>
        </is>
      </c>
      <c r="I157" s="7" t="inlineStr">
        <is>
          <t>Order changes correctly both directions.</t>
        </is>
      </c>
      <c r="J157" s="7" t="inlineStr">
        <is>
          <t>— Not tested</t>
        </is>
      </c>
      <c r="K157" s="7" t="inlineStr">
        <is>
          <t>— Not tested</t>
        </is>
      </c>
      <c r="L157" s="7" t="inlineStr">
        <is>
          <t>— Not tested</t>
        </is>
      </c>
    </row>
    <row r="158">
      <c r="A158" s="8" t="n">
        <v>157</v>
      </c>
      <c r="B158" s="8" t="inlineStr">
        <is>
          <t>2 — Sessions</t>
        </is>
      </c>
      <c r="C158" s="8" t="n">
        <v>15</v>
      </c>
      <c r="D158" s="8" t="inlineStr">
        <is>
          <t>Sessions — Filters &amp; Sort</t>
        </is>
      </c>
      <c r="E158" s="7" t="inlineStr">
        <is>
          <t>Configuration</t>
        </is>
      </c>
      <c r="F158" s="7" t="inlineStr">
        <is>
          <t>P2</t>
        </is>
      </c>
      <c r="G158" s="7" t="inlineStr">
        <is>
          <t>Sort cards by **Net P&amp;L** ascending then descending.</t>
        </is>
      </c>
      <c r="H158" s="7" t="inlineStr">
        <is>
          <t>Net P&amp;L</t>
        </is>
      </c>
      <c r="I158" s="7" t="inlineStr">
        <is>
          <t>Order changes correctly both directions.</t>
        </is>
      </c>
      <c r="J158" s="7" t="inlineStr">
        <is>
          <t>— Not tested</t>
        </is>
      </c>
      <c r="K158" s="7" t="inlineStr">
        <is>
          <t>— Not tested</t>
        </is>
      </c>
      <c r="L158" s="7" t="inlineStr">
        <is>
          <t>— Not tested</t>
        </is>
      </c>
    </row>
    <row r="159">
      <c r="A159" s="8" t="n">
        <v>158</v>
      </c>
      <c r="B159" s="8" t="inlineStr">
        <is>
          <t>2 — Sessions</t>
        </is>
      </c>
      <c r="C159" s="8" t="n">
        <v>15</v>
      </c>
      <c r="D159" s="8" t="inlineStr">
        <is>
          <t>Sessions — Filters &amp; Sort</t>
        </is>
      </c>
      <c r="E159" s="7" t="inlineStr">
        <is>
          <t>Configuration</t>
        </is>
      </c>
      <c r="F159" s="7" t="inlineStr">
        <is>
          <t>P2</t>
        </is>
      </c>
      <c r="G159" s="7" t="inlineStr">
        <is>
          <t>Sort cards by **Win Rate** ascending then descending.</t>
        </is>
      </c>
      <c r="H159" s="7" t="inlineStr">
        <is>
          <t>Win Rate</t>
        </is>
      </c>
      <c r="I159" s="7" t="inlineStr">
        <is>
          <t>Order changes correctly both directions.</t>
        </is>
      </c>
      <c r="J159" s="7" t="inlineStr">
        <is>
          <t>— Not tested</t>
        </is>
      </c>
      <c r="K159" s="7" t="inlineStr">
        <is>
          <t>— Not tested</t>
        </is>
      </c>
      <c r="L159" s="7" t="inlineStr">
        <is>
          <t>— Not tested</t>
        </is>
      </c>
    </row>
    <row r="160">
      <c r="A160" s="8" t="n">
        <v>159</v>
      </c>
      <c r="B160" s="8" t="inlineStr">
        <is>
          <t>2 — Sessions</t>
        </is>
      </c>
      <c r="C160" s="8" t="n">
        <v>15</v>
      </c>
      <c r="D160" s="8" t="inlineStr">
        <is>
          <t>Sessions — Filters &amp; Sort</t>
        </is>
      </c>
      <c r="E160" s="7" t="inlineStr">
        <is>
          <t>Configuration</t>
        </is>
      </c>
      <c r="F160" s="7" t="inlineStr">
        <is>
          <t>P2</t>
        </is>
      </c>
      <c r="G160" s="7" t="inlineStr">
        <is>
          <t>Sort cards by **Avg R:R** ascending then descending.</t>
        </is>
      </c>
      <c r="H160" s="7" t="inlineStr">
        <is>
          <t>Avg R:R</t>
        </is>
      </c>
      <c r="I160" s="7" t="inlineStr">
        <is>
          <t>Order changes correctly both directions.</t>
        </is>
      </c>
      <c r="J160" s="7" t="inlineStr">
        <is>
          <t>— Not tested</t>
        </is>
      </c>
      <c r="K160" s="7" t="inlineStr">
        <is>
          <t>— Not tested</t>
        </is>
      </c>
      <c r="L160" s="7" t="inlineStr">
        <is>
          <t>— Not tested</t>
        </is>
      </c>
    </row>
    <row r="161">
      <c r="A161" s="8" t="n">
        <v>160</v>
      </c>
      <c r="B161" s="8" t="inlineStr">
        <is>
          <t>2 — Sessions</t>
        </is>
      </c>
      <c r="C161" s="8" t="n">
        <v>15</v>
      </c>
      <c r="D161" s="8" t="inlineStr">
        <is>
          <t>Sessions — Filters &amp; Sort</t>
        </is>
      </c>
      <c r="E161" s="7" t="inlineStr">
        <is>
          <t>Configuration</t>
        </is>
      </c>
      <c r="F161" s="7" t="inlineStr">
        <is>
          <t>P2</t>
        </is>
      </c>
      <c r="G161" s="7" t="inlineStr">
        <is>
          <t>Sort cards by **Trades** ascending then descending.</t>
        </is>
      </c>
      <c r="H161" s="7" t="inlineStr">
        <is>
          <t>Trades</t>
        </is>
      </c>
      <c r="I161" s="7" t="inlineStr">
        <is>
          <t>Order changes correctly both directions.</t>
        </is>
      </c>
      <c r="J161" s="7" t="inlineStr">
        <is>
          <t>— Not tested</t>
        </is>
      </c>
      <c r="K161" s="7" t="inlineStr">
        <is>
          <t>— Not tested</t>
        </is>
      </c>
      <c r="L161" s="7" t="inlineStr">
        <is>
          <t>— Not tested</t>
        </is>
      </c>
    </row>
    <row r="162">
      <c r="A162" s="8" t="n">
        <v>161</v>
      </c>
      <c r="B162" s="8" t="inlineStr">
        <is>
          <t>2 — Sessions</t>
        </is>
      </c>
      <c r="C162" s="8" t="n">
        <v>15</v>
      </c>
      <c r="D162" s="8" t="inlineStr">
        <is>
          <t>Sessions — Filters &amp; Sort</t>
        </is>
      </c>
      <c r="E162" s="7" t="inlineStr">
        <is>
          <t>Configuration</t>
        </is>
      </c>
      <c r="F162" s="7" t="inlineStr">
        <is>
          <t>P2</t>
        </is>
      </c>
      <c r="G162" s="7" t="inlineStr">
        <is>
          <t>Sort cards by **Progress** ascending then descending.</t>
        </is>
      </c>
      <c r="H162" s="7" t="inlineStr">
        <is>
          <t>Progress</t>
        </is>
      </c>
      <c r="I162" s="7" t="inlineStr">
        <is>
          <t>Order changes correctly both directions.</t>
        </is>
      </c>
      <c r="J162" s="7" t="inlineStr">
        <is>
          <t>— Not tested</t>
        </is>
      </c>
      <c r="K162" s="7" t="inlineStr">
        <is>
          <t>— Not tested</t>
        </is>
      </c>
      <c r="L162" s="7" t="inlineStr">
        <is>
          <t>— Not tested</t>
        </is>
      </c>
    </row>
    <row r="163">
      <c r="A163" s="8" t="n">
        <v>162</v>
      </c>
      <c r="B163" s="8" t="inlineStr">
        <is>
          <t>2 — Sessions</t>
        </is>
      </c>
      <c r="C163" s="8" t="n">
        <v>15</v>
      </c>
      <c r="D163" s="8" t="inlineStr">
        <is>
          <t>Sessions — Filters &amp; Sort</t>
        </is>
      </c>
      <c r="E163" s="7" t="inlineStr">
        <is>
          <t>Edge</t>
        </is>
      </c>
      <c r="F163" s="7" t="inlineStr">
        <is>
          <t>P1</t>
        </is>
      </c>
      <c r="G163" s="7" t="inlineStr">
        <is>
          <t>Search session name partial.</t>
        </is>
      </c>
      <c r="H163" s="7" t="inlineStr">
        <is>
          <t>part of name</t>
        </is>
      </c>
      <c r="I163" s="7" t="inlineStr">
        <is>
          <t>Filters list.</t>
        </is>
      </c>
      <c r="J163" s="7" t="inlineStr">
        <is>
          <t>— Not tested</t>
        </is>
      </c>
      <c r="K163" s="7" t="inlineStr">
        <is>
          <t>— Not tested</t>
        </is>
      </c>
      <c r="L163" s="7" t="inlineStr">
        <is>
          <t>— Not tested</t>
        </is>
      </c>
    </row>
    <row r="164">
      <c r="A164" s="8" t="n">
        <v>163</v>
      </c>
      <c r="B164" s="8" t="inlineStr">
        <is>
          <t>2 — Sessions</t>
        </is>
      </c>
      <c r="C164" s="8" t="n">
        <v>15</v>
      </c>
      <c r="D164" s="8" t="inlineStr">
        <is>
          <t>Sessions — Filters &amp; Sort</t>
        </is>
      </c>
      <c r="E164" s="7" t="inlineStr">
        <is>
          <t>Edge</t>
        </is>
      </c>
      <c r="F164" s="7" t="inlineStr">
        <is>
          <t>P1</t>
        </is>
      </c>
      <c r="G164" s="7" t="inlineStr">
        <is>
          <t>Search by ticker symbol.</t>
        </is>
      </c>
      <c r="H164" s="7" t="inlineStr">
        <is>
          <t>EURUSD</t>
        </is>
      </c>
      <c r="I164" s="7" t="inlineStr">
        <is>
          <t>Sessions containing ticker shown.</t>
        </is>
      </c>
      <c r="J164" s="7" t="inlineStr">
        <is>
          <t>— Not tested</t>
        </is>
      </c>
      <c r="K164" s="7" t="inlineStr">
        <is>
          <t>— Not tested</t>
        </is>
      </c>
      <c r="L164" s="7" t="inlineStr">
        <is>
          <t>— Not tested</t>
        </is>
      </c>
    </row>
    <row r="165">
      <c r="A165" s="8" t="n">
        <v>164</v>
      </c>
      <c r="B165" s="8" t="inlineStr">
        <is>
          <t>2 — Sessions</t>
        </is>
      </c>
      <c r="C165" s="8" t="n">
        <v>15</v>
      </c>
      <c r="D165" s="8" t="inlineStr">
        <is>
          <t>Sessions — Filters &amp; Sort</t>
        </is>
      </c>
      <c r="E165" s="7" t="inlineStr">
        <is>
          <t>Edge</t>
        </is>
      </c>
      <c r="F165" s="7" t="inlineStr">
        <is>
          <t>P1</t>
        </is>
      </c>
      <c r="G165" s="7" t="inlineStr">
        <is>
          <t>Search by strategy name.</t>
        </is>
      </c>
      <c r="H165" s="7" t="inlineStr">
        <is>
          <t>strategy</t>
        </is>
      </c>
      <c r="I165" s="7" t="inlineStr">
        <is>
          <t>Filters correctly.</t>
        </is>
      </c>
      <c r="J165" s="7" t="inlineStr">
        <is>
          <t>— Not tested</t>
        </is>
      </c>
      <c r="K165" s="7" t="inlineStr">
        <is>
          <t>— Not tested</t>
        </is>
      </c>
      <c r="L165" s="7" t="inlineStr">
        <is>
          <t>— Not tested</t>
        </is>
      </c>
    </row>
    <row r="166">
      <c r="A166" s="8" t="n">
        <v>165</v>
      </c>
      <c r="B166" s="8" t="inlineStr">
        <is>
          <t>2 — Sessions</t>
        </is>
      </c>
      <c r="C166" s="8" t="n">
        <v>15</v>
      </c>
      <c r="D166" s="8" t="inlineStr">
        <is>
          <t>Sessions — Filters &amp; Sort</t>
        </is>
      </c>
      <c r="E166" s="7" t="inlineStr">
        <is>
          <t>Edge</t>
        </is>
      </c>
      <c r="F166" s="7" t="inlineStr">
        <is>
          <t>P2</t>
        </is>
      </c>
      <c r="G166" s="7" t="inlineStr">
        <is>
          <t>Escape clears search.</t>
        </is>
      </c>
      <c r="H166" s="7" t="inlineStr">
        <is>
          <t>Esc</t>
        </is>
      </c>
      <c r="I166" s="7" t="inlineStr">
        <is>
          <t>Search cleared.</t>
        </is>
      </c>
      <c r="J166" s="7" t="inlineStr">
        <is>
          <t>— Not tested</t>
        </is>
      </c>
      <c r="K166" s="7" t="inlineStr">
        <is>
          <t>— Not tested</t>
        </is>
      </c>
      <c r="L166" s="7" t="inlineStr">
        <is>
          <t>— Not tested</t>
        </is>
      </c>
    </row>
    <row r="167">
      <c r="A167" s="8" t="n">
        <v>166</v>
      </c>
      <c r="B167" s="8" t="inlineStr">
        <is>
          <t>2 — Sessions</t>
        </is>
      </c>
      <c r="C167" s="8" t="n">
        <v>15</v>
      </c>
      <c r="D167" s="8" t="inlineStr">
        <is>
          <t>Sessions — Filters &amp; Sort</t>
        </is>
      </c>
      <c r="E167" s="7" t="inlineStr">
        <is>
          <t>Edge</t>
        </is>
      </c>
      <c r="F167" s="7" t="inlineStr">
        <is>
          <t>P2</t>
        </is>
      </c>
      <c r="G167" s="7" t="inlineStr">
        <is>
          <t>Combine filter Active + search.</t>
        </is>
      </c>
      <c r="H167" s="7" t="inlineStr">
        <is>
          <t>both</t>
        </is>
      </c>
      <c r="I167" s="7" t="inlineStr">
        <is>
          <t>Intersection of filters.</t>
        </is>
      </c>
      <c r="J167" s="7" t="inlineStr">
        <is>
          <t>— Not tested</t>
        </is>
      </c>
      <c r="K167" s="7" t="inlineStr">
        <is>
          <t>— Not tested</t>
        </is>
      </c>
      <c r="L167" s="7" t="inlineStr">
        <is>
          <t>— Not tested</t>
        </is>
      </c>
    </row>
    <row r="168">
      <c r="A168" s="8" t="n">
        <v>167</v>
      </c>
      <c r="B168" s="8" t="inlineStr">
        <is>
          <t>2 — Sessions</t>
        </is>
      </c>
      <c r="C168" s="8" t="n">
        <v>16</v>
      </c>
      <c r="D168" s="8" t="inlineStr">
        <is>
          <t>Sessions — Row Actions by State</t>
        </is>
      </c>
      <c r="E168" s="7" t="inlineStr">
        <is>
          <t>Logic</t>
        </is>
      </c>
      <c r="F168" s="7" t="inlineStr">
        <is>
          <t>P0</t>
        </is>
      </c>
      <c r="G168" s="7" t="inlineStr">
        <is>
          <t>Not Started session: Resume ▶.</t>
        </is>
      </c>
      <c r="H168" s="7" t="inlineStr">
        <is>
          <t>progress=0</t>
        </is>
      </c>
      <c r="I168" s="7" t="inlineStr">
        <is>
          <t>Opens chart at start.</t>
        </is>
      </c>
      <c r="J168" s="7" t="inlineStr">
        <is>
          <t>— Not tested</t>
        </is>
      </c>
      <c r="K168" s="7" t="inlineStr">
        <is>
          <t>— Not tested</t>
        </is>
      </c>
      <c r="L168" s="7" t="inlineStr">
        <is>
          <t>— Not tested</t>
        </is>
      </c>
    </row>
    <row r="169">
      <c r="A169" s="8" t="n">
        <v>168</v>
      </c>
      <c r="B169" s="8" t="inlineStr">
        <is>
          <t>2 — Sessions</t>
        </is>
      </c>
      <c r="C169" s="8" t="n">
        <v>16</v>
      </c>
      <c r="D169" s="8" t="inlineStr">
        <is>
          <t>Sessions — Row Actions by State</t>
        </is>
      </c>
      <c r="E169" s="7" t="inlineStr">
        <is>
          <t>Logic</t>
        </is>
      </c>
      <c r="F169" s="7" t="inlineStr">
        <is>
          <t>P0</t>
        </is>
      </c>
      <c r="G169" s="7" t="inlineStr">
        <is>
          <t>Active session: Resume ▶.</t>
        </is>
      </c>
      <c r="H169" s="7" t="inlineStr">
        <is>
          <t>0&lt;progress&lt;100</t>
        </is>
      </c>
      <c r="I169" s="7" t="inlineStr">
        <is>
          <t>Continues from saved bar.</t>
        </is>
      </c>
      <c r="J169" s="7" t="inlineStr">
        <is>
          <t>— Not tested</t>
        </is>
      </c>
      <c r="K169" s="7" t="inlineStr">
        <is>
          <t>— Not tested</t>
        </is>
      </c>
      <c r="L169" s="7" t="inlineStr">
        <is>
          <t>— Not tested</t>
        </is>
      </c>
    </row>
    <row r="170">
      <c r="A170" s="8" t="n">
        <v>169</v>
      </c>
      <c r="B170" s="8" t="inlineStr">
        <is>
          <t>2 — Sessions</t>
        </is>
      </c>
      <c r="C170" s="8" t="n">
        <v>16</v>
      </c>
      <c r="D170" s="8" t="inlineStr">
        <is>
          <t>Sessions — Row Actions by State</t>
        </is>
      </c>
      <c r="E170" s="7" t="inlineStr">
        <is>
          <t>Logic</t>
        </is>
      </c>
      <c r="F170" s="7" t="inlineStr">
        <is>
          <t>P1</t>
        </is>
      </c>
      <c r="G170" s="7" t="inlineStr">
        <is>
          <t>Completed session: Resume ▶.</t>
        </is>
      </c>
      <c r="H170" s="7" t="inlineStr">
        <is>
          <t>progress=100</t>
        </is>
      </c>
      <c r="I170" s="7" t="inlineStr">
        <is>
          <t>Opens at end or review mode — note behavior.</t>
        </is>
      </c>
      <c r="J170" s="7" t="inlineStr">
        <is>
          <t>— Not tested</t>
        </is>
      </c>
      <c r="K170" s="7" t="inlineStr">
        <is>
          <t>— Not tested</t>
        </is>
      </c>
      <c r="L170" s="7" t="inlineStr">
        <is>
          <t>— Not tested</t>
        </is>
      </c>
    </row>
    <row r="171">
      <c r="A171" s="8" t="n">
        <v>170</v>
      </c>
      <c r="B171" s="8" t="inlineStr">
        <is>
          <t>2 — Sessions</t>
        </is>
      </c>
      <c r="C171" s="8" t="n">
        <v>16</v>
      </c>
      <c r="D171" s="8" t="inlineStr">
        <is>
          <t>Sessions — Row Actions by State</t>
        </is>
      </c>
      <c r="E171" s="7" t="inlineStr">
        <is>
          <t>Logic</t>
        </is>
      </c>
      <c r="F171" s="7" t="inlineStr">
        <is>
          <t>P0</t>
        </is>
      </c>
      <c r="G171" s="7" t="inlineStr">
        <is>
          <t>⋯ → Edit on Not Started.</t>
        </is>
      </c>
      <c r="H171" s="7" t="inlineStr">
        <is>
          <t>—</t>
        </is>
      </c>
      <c r="I171" s="7" t="inlineStr">
        <is>
          <t>Session modal edit mode.</t>
        </is>
      </c>
      <c r="J171" s="7" t="inlineStr">
        <is>
          <t>— Not tested</t>
        </is>
      </c>
      <c r="K171" s="7" t="inlineStr">
        <is>
          <t>— Not tested</t>
        </is>
      </c>
      <c r="L171" s="7" t="inlineStr">
        <is>
          <t>— Not tested</t>
        </is>
      </c>
    </row>
    <row r="172">
      <c r="A172" s="8" t="n">
        <v>171</v>
      </c>
      <c r="B172" s="8" t="inlineStr">
        <is>
          <t>2 — Sessions</t>
        </is>
      </c>
      <c r="C172" s="8" t="n">
        <v>16</v>
      </c>
      <c r="D172" s="8" t="inlineStr">
        <is>
          <t>Sessions — Row Actions by State</t>
        </is>
      </c>
      <c r="E172" s="7" t="inlineStr">
        <is>
          <t>Logic</t>
        </is>
      </c>
      <c r="F172" s="7" t="inlineStr">
        <is>
          <t>P0</t>
        </is>
      </c>
      <c r="G172" s="7" t="inlineStr">
        <is>
          <t>⋯ → Edit on Active (started).</t>
        </is>
      </c>
      <c r="H172" s="7" t="inlineStr">
        <is>
          <t>—</t>
        </is>
      </c>
      <c r="I172" s="7" t="inlineStr">
        <is>
          <t>Edit DISABLED.</t>
        </is>
      </c>
      <c r="J172" s="7" t="inlineStr">
        <is>
          <t>— Not tested</t>
        </is>
      </c>
      <c r="K172" s="7" t="inlineStr">
        <is>
          <t>— Not tested</t>
        </is>
      </c>
      <c r="L172" s="7" t="inlineStr">
        <is>
          <t>— Not tested</t>
        </is>
      </c>
    </row>
    <row r="173">
      <c r="A173" s="8" t="n">
        <v>172</v>
      </c>
      <c r="B173" s="8" t="inlineStr">
        <is>
          <t>2 — Sessions</t>
        </is>
      </c>
      <c r="C173" s="8" t="n">
        <v>16</v>
      </c>
      <c r="D173" s="8" t="inlineStr">
        <is>
          <t>Sessions — Row Actions by State</t>
        </is>
      </c>
      <c r="E173" s="7" t="inlineStr">
        <is>
          <t>Logic</t>
        </is>
      </c>
      <c r="F173" s="7" t="inlineStr">
        <is>
          <t>P1</t>
        </is>
      </c>
      <c r="G173" s="7" t="inlineStr">
        <is>
          <t>⋯ → Duplicate.</t>
        </is>
      </c>
      <c r="H173" s="7" t="inlineStr">
        <is>
          <t>—</t>
        </is>
      </c>
      <c r="I173" s="7" t="inlineStr">
        <is>
          <t>Copy created.</t>
        </is>
      </c>
      <c r="J173" s="7" t="inlineStr">
        <is>
          <t>— Not tested</t>
        </is>
      </c>
      <c r="K173" s="7" t="inlineStr">
        <is>
          <t>— Not tested</t>
        </is>
      </c>
      <c r="L173" s="7" t="inlineStr">
        <is>
          <t>— Not tested</t>
        </is>
      </c>
    </row>
    <row r="174">
      <c r="A174" s="8" t="n">
        <v>173</v>
      </c>
      <c r="B174" s="8" t="inlineStr">
        <is>
          <t>2 — Sessions</t>
        </is>
      </c>
      <c r="C174" s="8" t="n">
        <v>16</v>
      </c>
      <c r="D174" s="8" t="inlineStr">
        <is>
          <t>Sessions — Row Actions by State</t>
        </is>
      </c>
      <c r="E174" s="7" t="inlineStr">
        <is>
          <t>Logic</t>
        </is>
      </c>
      <c r="F174" s="7" t="inlineStr">
        <is>
          <t>P1</t>
        </is>
      </c>
      <c r="G174" s="7" t="inlineStr">
        <is>
          <t>⋯ → Delete → cancel.</t>
        </is>
      </c>
      <c r="H174" s="7" t="inlineStr">
        <is>
          <t>—</t>
        </is>
      </c>
      <c r="I174" s="7" t="inlineStr">
        <is>
          <t>Session kept.</t>
        </is>
      </c>
      <c r="J174" s="7" t="inlineStr">
        <is>
          <t>— Not tested</t>
        </is>
      </c>
      <c r="K174" s="7" t="inlineStr">
        <is>
          <t>— Not tested</t>
        </is>
      </c>
      <c r="L174" s="7" t="inlineStr">
        <is>
          <t>— Not tested</t>
        </is>
      </c>
    </row>
    <row r="175">
      <c r="A175" s="8" t="n">
        <v>174</v>
      </c>
      <c r="B175" s="8" t="inlineStr">
        <is>
          <t>2 — Sessions</t>
        </is>
      </c>
      <c r="C175" s="8" t="n">
        <v>16</v>
      </c>
      <c r="D175" s="8" t="inlineStr">
        <is>
          <t>Sessions — Row Actions by State</t>
        </is>
      </c>
      <c r="E175" s="7" t="inlineStr">
        <is>
          <t>Logic</t>
        </is>
      </c>
      <c r="F175" s="7" t="inlineStr">
        <is>
          <t>P1</t>
        </is>
      </c>
      <c r="G175" s="7" t="inlineStr">
        <is>
          <t>⋯ → Delete → confirm.</t>
        </is>
      </c>
      <c r="H175" s="7" t="inlineStr">
        <is>
          <t>—</t>
        </is>
      </c>
      <c r="I175" s="7" t="inlineStr">
        <is>
          <t>Session removed.</t>
        </is>
      </c>
      <c r="J175" s="7" t="inlineStr">
        <is>
          <t>— Not tested</t>
        </is>
      </c>
      <c r="K175" s="7" t="inlineStr">
        <is>
          <t>— Not tested</t>
        </is>
      </c>
      <c r="L175" s="7" t="inlineStr">
        <is>
          <t>— Not tested</t>
        </is>
      </c>
    </row>
    <row r="176">
      <c r="A176" s="8" t="n">
        <v>175</v>
      </c>
      <c r="B176" s="8" t="inlineStr">
        <is>
          <t>2 — Sessions</t>
        </is>
      </c>
      <c r="C176" s="8" t="n">
        <v>16</v>
      </c>
      <c r="D176" s="8" t="inlineStr">
        <is>
          <t>Sessions — Row Actions by State</t>
        </is>
      </c>
      <c r="E176" s="7" t="inlineStr">
        <is>
          <t>Logic</t>
        </is>
      </c>
      <c r="F176" s="7" t="inlineStr">
        <is>
          <t>P1</t>
        </is>
      </c>
      <c r="G176" s="7" t="inlineStr">
        <is>
          <t>Journal session ⋯ → Add Trade.</t>
        </is>
      </c>
      <c r="H176" s="7" t="inlineStr">
        <is>
          <t>—</t>
        </is>
      </c>
      <c r="I176" s="7" t="inlineStr">
        <is>
          <t>Opens add trade for journal.</t>
        </is>
      </c>
      <c r="J176" s="7" t="inlineStr">
        <is>
          <t>— Not tested</t>
        </is>
      </c>
      <c r="K176" s="7" t="inlineStr">
        <is>
          <t>— Not tested</t>
        </is>
      </c>
      <c r="L176" s="7" t="inlineStr">
        <is>
          <t>— Not tested</t>
        </is>
      </c>
    </row>
    <row r="177">
      <c r="A177" s="8" t="n">
        <v>176</v>
      </c>
      <c r="B177" s="8" t="inlineStr">
        <is>
          <t>2 — Sessions</t>
        </is>
      </c>
      <c r="C177" s="8" t="n">
        <v>16</v>
      </c>
      <c r="D177" s="8" t="inlineStr">
        <is>
          <t>Sessions — Row Actions by State</t>
        </is>
      </c>
      <c r="E177" s="7" t="inlineStr">
        <is>
          <t>Logic</t>
        </is>
      </c>
      <c r="F177" s="7" t="inlineStr">
        <is>
          <t>P2</t>
        </is>
      </c>
      <c r="G177" s="7" t="inlineStr">
        <is>
          <t>Journal ⋯ → Edit Journal (no live account).</t>
        </is>
      </c>
      <c r="H177" s="7" t="inlineStr">
        <is>
          <t>—</t>
        </is>
      </c>
      <c r="I177" s="7" t="inlineStr">
        <is>
          <t>Disabled if no account.</t>
        </is>
      </c>
      <c r="J177" s="7" t="inlineStr">
        <is>
          <t>— Not tested</t>
        </is>
      </c>
      <c r="K177" s="7" t="inlineStr">
        <is>
          <t>— Not tested</t>
        </is>
      </c>
      <c r="L177" s="7" t="inlineStr">
        <is>
          <t>— Not tested</t>
        </is>
      </c>
    </row>
    <row r="178">
      <c r="A178" s="8" t="n">
        <v>177</v>
      </c>
      <c r="B178" s="8" t="inlineStr">
        <is>
          <t>2 — Sessions</t>
        </is>
      </c>
      <c r="C178" s="8" t="n">
        <v>17</v>
      </c>
      <c r="D178" s="8" t="inlineStr">
        <is>
          <t>New Session — Kind Picker</t>
        </is>
      </c>
      <c r="E178" s="7" t="inlineStr">
        <is>
          <t>Configuration</t>
        </is>
      </c>
      <c r="F178" s="7" t="inlineStr">
        <is>
          <t>P0</t>
        </is>
      </c>
      <c r="G178" s="7" t="inlineStr">
        <is>
          <t>New Session → Backtest.</t>
        </is>
      </c>
      <c r="H178" s="7" t="inlineStr">
        <is>
          <t>—</t>
        </is>
      </c>
      <c r="I178" s="7" t="inlineStr">
        <is>
          <t>Backtest modal opens.</t>
        </is>
      </c>
      <c r="J178" s="7" t="inlineStr">
        <is>
          <t>— Not tested</t>
        </is>
      </c>
      <c r="K178" s="7" t="inlineStr">
        <is>
          <t>— Not tested</t>
        </is>
      </c>
      <c r="L178" s="7" t="inlineStr">
        <is>
          <t>— Not tested</t>
        </is>
      </c>
    </row>
    <row r="179">
      <c r="A179" s="8" t="n">
        <v>178</v>
      </c>
      <c r="B179" s="8" t="inlineStr">
        <is>
          <t>2 — Sessions</t>
        </is>
      </c>
      <c r="C179" s="8" t="n">
        <v>17</v>
      </c>
      <c r="D179" s="8" t="inlineStr">
        <is>
          <t>New Session — Kind Picker</t>
        </is>
      </c>
      <c r="E179" s="7" t="inlineStr">
        <is>
          <t>Configuration</t>
        </is>
      </c>
      <c r="F179" s="7" t="inlineStr">
        <is>
          <t>P1</t>
        </is>
      </c>
      <c r="G179" s="7" t="inlineStr">
        <is>
          <t>New Session → Journal → Real account.</t>
        </is>
      </c>
      <c r="H179" s="7" t="inlineStr">
        <is>
          <t>—</t>
        </is>
      </c>
      <c r="I179" s="7" t="inlineStr">
        <is>
          <t>Journal flow continues.</t>
        </is>
      </c>
      <c r="J179" s="7" t="inlineStr">
        <is>
          <t>— Not tested</t>
        </is>
      </c>
      <c r="K179" s="7" t="inlineStr">
        <is>
          <t>— Not tested</t>
        </is>
      </c>
      <c r="L179" s="7" t="inlineStr">
        <is>
          <t>— Not tested</t>
        </is>
      </c>
    </row>
    <row r="180">
      <c r="A180" s="8" t="n">
        <v>179</v>
      </c>
      <c r="B180" s="8" t="inlineStr">
        <is>
          <t>2 — Sessions</t>
        </is>
      </c>
      <c r="C180" s="8" t="n">
        <v>17</v>
      </c>
      <c r="D180" s="8" t="inlineStr">
        <is>
          <t>New Session — Kind Picker</t>
        </is>
      </c>
      <c r="E180" s="7" t="inlineStr">
        <is>
          <t>Configuration</t>
        </is>
      </c>
      <c r="F180" s="7" t="inlineStr">
        <is>
          <t>P1</t>
        </is>
      </c>
      <c r="G180" s="7" t="inlineStr">
        <is>
          <t>New Session → Journal → Prop firm.</t>
        </is>
      </c>
      <c r="H180" s="7" t="inlineStr">
        <is>
          <t>—</t>
        </is>
      </c>
      <c r="I180" s="7" t="inlineStr">
        <is>
          <t>Prop journal path.</t>
        </is>
      </c>
      <c r="J180" s="7" t="inlineStr">
        <is>
          <t>— Not tested</t>
        </is>
      </c>
      <c r="K180" s="7" t="inlineStr">
        <is>
          <t>— Not tested</t>
        </is>
      </c>
      <c r="L180" s="7" t="inlineStr">
        <is>
          <t>— Not tested</t>
        </is>
      </c>
    </row>
    <row r="181">
      <c r="A181" s="8" t="n">
        <v>180</v>
      </c>
      <c r="B181" s="8" t="inlineStr">
        <is>
          <t>2 — Sessions</t>
        </is>
      </c>
      <c r="C181" s="8" t="n">
        <v>17</v>
      </c>
      <c r="D181" s="8" t="inlineStr">
        <is>
          <t>New Session — Kind Picker</t>
        </is>
      </c>
      <c r="E181" s="7" t="inlineStr">
        <is>
          <t>Configuration</t>
        </is>
      </c>
      <c r="F181" s="7" t="inlineStr">
        <is>
          <t>P1</t>
        </is>
      </c>
      <c r="G181" s="7" t="inlineStr">
        <is>
          <t>Manual trades option.</t>
        </is>
      </c>
      <c r="H181" s="7" t="inlineStr">
        <is>
          <t>—</t>
        </is>
      </c>
      <c r="I181" s="7" t="inlineStr">
        <is>
          <t>Selectable.</t>
        </is>
      </c>
      <c r="J181" s="7" t="inlineStr">
        <is>
          <t>— Not tested</t>
        </is>
      </c>
      <c r="K181" s="7" t="inlineStr">
        <is>
          <t>— Not tested</t>
        </is>
      </c>
      <c r="L181" s="7" t="inlineStr">
        <is>
          <t>— Not tested</t>
        </is>
      </c>
    </row>
    <row r="182">
      <c r="A182" s="8" t="n">
        <v>181</v>
      </c>
      <c r="B182" s="8" t="inlineStr">
        <is>
          <t>2 — Sessions</t>
        </is>
      </c>
      <c r="C182" s="8" t="n">
        <v>17</v>
      </c>
      <c r="D182" s="8" t="inlineStr">
        <is>
          <t>New Session — Kind Picker</t>
        </is>
      </c>
      <c r="E182" s="7" t="inlineStr">
        <is>
          <t>Configuration</t>
        </is>
      </c>
      <c r="F182" s="7" t="inlineStr">
        <is>
          <t>P2</t>
        </is>
      </c>
      <c r="G182" s="7" t="inlineStr">
        <is>
          <t>CSV import — Coming Soon.</t>
        </is>
      </c>
      <c r="H182" s="7" t="inlineStr">
        <is>
          <t>—</t>
        </is>
      </c>
      <c r="I182" s="7" t="inlineStr">
        <is>
          <t>Disabled or blocked.</t>
        </is>
      </c>
      <c r="J182" s="7" t="inlineStr">
        <is>
          <t>— Not tested</t>
        </is>
      </c>
      <c r="K182" s="7" t="inlineStr">
        <is>
          <t>— Not tested</t>
        </is>
      </c>
      <c r="L182" s="7" t="inlineStr">
        <is>
          <t>— Not tested</t>
        </is>
      </c>
    </row>
    <row r="183">
      <c r="A183" s="8" t="n">
        <v>182</v>
      </c>
      <c r="B183" s="8" t="inlineStr">
        <is>
          <t>2 — Sessions</t>
        </is>
      </c>
      <c r="C183" s="8" t="n">
        <v>17</v>
      </c>
      <c r="D183" s="8" t="inlineStr">
        <is>
          <t>New Session — Kind Picker</t>
        </is>
      </c>
      <c r="E183" s="7" t="inlineStr">
        <is>
          <t>Configuration</t>
        </is>
      </c>
      <c r="F183" s="7" t="inlineStr">
        <is>
          <t>P2</t>
        </is>
      </c>
      <c r="G183" s="7" t="inlineStr">
        <is>
          <t>Link broker — Coming Soon.</t>
        </is>
      </c>
      <c r="H183" s="7" t="inlineStr">
        <is>
          <t>—</t>
        </is>
      </c>
      <c r="I183" s="7" t="inlineStr">
        <is>
          <t>Disabled or blocked.</t>
        </is>
      </c>
      <c r="J183" s="7" t="inlineStr">
        <is>
          <t>— Not tested</t>
        </is>
      </c>
      <c r="K183" s="7" t="inlineStr">
        <is>
          <t>— Not tested</t>
        </is>
      </c>
      <c r="L183" s="7" t="inlineStr">
        <is>
          <t>— Not tested</t>
        </is>
      </c>
    </row>
    <row r="184">
      <c r="A184" s="8" t="n">
        <v>183</v>
      </c>
      <c r="B184" s="8" t="inlineStr">
        <is>
          <t>2 — Sessions</t>
        </is>
      </c>
      <c r="C184" s="8" t="n">
        <v>18</v>
      </c>
      <c r="D184" s="8" t="inlineStr">
        <is>
          <t>Add Session — Session Info Fields</t>
        </is>
      </c>
      <c r="E184" s="7" t="inlineStr">
        <is>
          <t>Input matrix</t>
        </is>
      </c>
      <c r="F184" s="7" t="inlineStr">
        <is>
          <t>P0</t>
        </is>
      </c>
      <c r="G184" s="7" t="inlineStr">
        <is>
          <t>Session name empty.</t>
        </is>
      </c>
      <c r="H184" s="7" t="inlineStr"/>
      <c r="I184" s="7" t="inlineStr">
        <is>
          <t>Save/Start disabled.</t>
        </is>
      </c>
      <c r="J184" s="7" t="inlineStr">
        <is>
          <t>— Not tested</t>
        </is>
      </c>
      <c r="K184" s="7" t="inlineStr">
        <is>
          <t>— Not tested</t>
        </is>
      </c>
      <c r="L184" s="7" t="inlineStr">
        <is>
          <t>— Not tested</t>
        </is>
      </c>
    </row>
    <row r="185">
      <c r="A185" s="8" t="n">
        <v>184</v>
      </c>
      <c r="B185" s="8" t="inlineStr">
        <is>
          <t>2 — Sessions</t>
        </is>
      </c>
      <c r="C185" s="8" t="n">
        <v>18</v>
      </c>
      <c r="D185" s="8" t="inlineStr">
        <is>
          <t>Add Session — Session Info Fields</t>
        </is>
      </c>
      <c r="E185" s="7" t="inlineStr">
        <is>
          <t>Input matrix</t>
        </is>
      </c>
      <c r="F185" s="7" t="inlineStr">
        <is>
          <t>P2</t>
        </is>
      </c>
      <c r="G185" s="7" t="inlineStr">
        <is>
          <t>Session name 1 char.</t>
        </is>
      </c>
      <c r="H185" s="7" t="inlineStr">
        <is>
          <t>A</t>
        </is>
      </c>
      <c r="I185" s="7" t="inlineStr">
        <is>
          <t>Accepted.</t>
        </is>
      </c>
      <c r="J185" s="7" t="inlineStr">
        <is>
          <t>— Not tested</t>
        </is>
      </c>
      <c r="K185" s="7" t="inlineStr">
        <is>
          <t>— Not tested</t>
        </is>
      </c>
      <c r="L185" s="7" t="inlineStr">
        <is>
          <t>— Not tested</t>
        </is>
      </c>
    </row>
    <row r="186">
      <c r="A186" s="8" t="n">
        <v>185</v>
      </c>
      <c r="B186" s="8" t="inlineStr">
        <is>
          <t>2 — Sessions</t>
        </is>
      </c>
      <c r="C186" s="8" t="n">
        <v>18</v>
      </c>
      <c r="D186" s="8" t="inlineStr">
        <is>
          <t>Add Session — Session Info Fields</t>
        </is>
      </c>
      <c r="E186" s="7" t="inlineStr">
        <is>
          <t>Input matrix</t>
        </is>
      </c>
      <c r="F186" s="7" t="inlineStr">
        <is>
          <t>P2</t>
        </is>
      </c>
      <c r="G186" s="7" t="inlineStr">
        <is>
          <t>Session name very long (200+ chars).</t>
        </is>
      </c>
      <c r="H186" s="7" t="inlineStr">
        <is>
          <t>long</t>
        </is>
      </c>
      <c r="I186" s="7" t="inlineStr">
        <is>
          <t>Truncated or accepted — note limit.</t>
        </is>
      </c>
      <c r="J186" s="7" t="inlineStr">
        <is>
          <t>— Not tested</t>
        </is>
      </c>
      <c r="K186" s="7" t="inlineStr">
        <is>
          <t>— Not tested</t>
        </is>
      </c>
      <c r="L186" s="7" t="inlineStr">
        <is>
          <t>— Not tested</t>
        </is>
      </c>
    </row>
    <row r="187">
      <c r="A187" s="8" t="n">
        <v>186</v>
      </c>
      <c r="B187" s="8" t="inlineStr">
        <is>
          <t>2 — Sessions</t>
        </is>
      </c>
      <c r="C187" s="8" t="n">
        <v>18</v>
      </c>
      <c r="D187" s="8" t="inlineStr">
        <is>
          <t>Add Session — Session Info Fields</t>
        </is>
      </c>
      <c r="E187" s="7" t="inlineStr">
        <is>
          <t>Input matrix</t>
        </is>
      </c>
      <c r="F187" s="7" t="inlineStr">
        <is>
          <t>P1</t>
        </is>
      </c>
      <c r="G187" s="7" t="inlineStr">
        <is>
          <t>Session name special chars.</t>
        </is>
      </c>
      <c r="H187" s="7" t="inlineStr">
        <is>
          <t>Test &amp; &lt; &gt;</t>
        </is>
      </c>
      <c r="I187" s="7" t="inlineStr">
        <is>
          <t>Displays safely.</t>
        </is>
      </c>
      <c r="J187" s="7" t="inlineStr">
        <is>
          <t>— Not tested</t>
        </is>
      </c>
      <c r="K187" s="7" t="inlineStr">
        <is>
          <t>— Not tested</t>
        </is>
      </c>
      <c r="L187" s="7" t="inlineStr">
        <is>
          <t>— Not tested</t>
        </is>
      </c>
    </row>
    <row r="188">
      <c r="A188" s="8" t="n">
        <v>187</v>
      </c>
      <c r="B188" s="8" t="inlineStr">
        <is>
          <t>2 — Sessions</t>
        </is>
      </c>
      <c r="C188" s="8" t="n">
        <v>18</v>
      </c>
      <c r="D188" s="8" t="inlineStr">
        <is>
          <t>Add Session — Session Info Fields</t>
        </is>
      </c>
      <c r="E188" s="7" t="inlineStr">
        <is>
          <t>Input matrix</t>
        </is>
      </c>
      <c r="F188" s="7" t="inlineStr">
        <is>
          <t>P1</t>
        </is>
      </c>
      <c r="G188" s="7" t="inlineStr">
        <is>
          <t>Strategy = None.</t>
        </is>
      </c>
      <c r="H188" s="7" t="inlineStr">
        <is>
          <t>None</t>
        </is>
      </c>
      <c r="I188" s="7" t="inlineStr">
        <is>
          <t>Session saves without linked strategy.</t>
        </is>
      </c>
      <c r="J188" s="7" t="inlineStr">
        <is>
          <t>— Not tested</t>
        </is>
      </c>
      <c r="K188" s="7" t="inlineStr">
        <is>
          <t>— Not tested</t>
        </is>
      </c>
      <c r="L188" s="7" t="inlineStr">
        <is>
          <t>— Not tested</t>
        </is>
      </c>
    </row>
    <row r="189">
      <c r="A189" s="8" t="n">
        <v>188</v>
      </c>
      <c r="B189" s="8" t="inlineStr">
        <is>
          <t>2 — Sessions</t>
        </is>
      </c>
      <c r="C189" s="8" t="n">
        <v>18</v>
      </c>
      <c r="D189" s="8" t="inlineStr">
        <is>
          <t>Add Session — Session Info Fields</t>
        </is>
      </c>
      <c r="E189" s="7" t="inlineStr">
        <is>
          <t>Input matrix</t>
        </is>
      </c>
      <c r="F189" s="7" t="inlineStr">
        <is>
          <t>P1</t>
        </is>
      </c>
      <c r="G189" s="7" t="inlineStr">
        <is>
          <t>Strategy = pick each of your strategies.</t>
        </is>
      </c>
      <c r="H189" s="7" t="inlineStr">
        <is>
          <t>each</t>
        </is>
      </c>
      <c r="I189" s="7" t="inlineStr">
        <is>
          <t>Strategy name links.</t>
        </is>
      </c>
      <c r="J189" s="7" t="inlineStr">
        <is>
          <t>— Not tested</t>
        </is>
      </c>
      <c r="K189" s="7" t="inlineStr">
        <is>
          <t>— Not tested</t>
        </is>
      </c>
      <c r="L189" s="7" t="inlineStr">
        <is>
          <t>— Not tested</t>
        </is>
      </c>
    </row>
    <row r="190">
      <c r="A190" s="8" t="n">
        <v>189</v>
      </c>
      <c r="B190" s="8" t="inlineStr">
        <is>
          <t>2 — Sessions</t>
        </is>
      </c>
      <c r="C190" s="8" t="n">
        <v>18</v>
      </c>
      <c r="D190" s="8" t="inlineStr">
        <is>
          <t>Add Session — Session Info Fields</t>
        </is>
      </c>
      <c r="E190" s="7" t="inlineStr">
        <is>
          <t>Input matrix</t>
        </is>
      </c>
      <c r="F190" s="7" t="inlineStr">
        <is>
          <t>P2</t>
        </is>
      </c>
      <c r="G190" s="7" t="inlineStr">
        <is>
          <t>New Strategy shortcut.</t>
        </is>
      </c>
      <c r="H190" s="7" t="inlineStr">
        <is>
          <t>—</t>
        </is>
      </c>
      <c r="I190" s="7" t="inlineStr">
        <is>
          <t>Navigates to strategy create.</t>
        </is>
      </c>
      <c r="J190" s="7" t="inlineStr">
        <is>
          <t>— Not tested</t>
        </is>
      </c>
      <c r="K190" s="7" t="inlineStr">
        <is>
          <t>— Not tested</t>
        </is>
      </c>
      <c r="L190" s="7" t="inlineStr">
        <is>
          <t>— Not tested</t>
        </is>
      </c>
    </row>
    <row r="191">
      <c r="A191" s="8" t="n">
        <v>190</v>
      </c>
      <c r="B191" s="8" t="inlineStr">
        <is>
          <t>2 — Sessions</t>
        </is>
      </c>
      <c r="C191" s="8" t="n">
        <v>18</v>
      </c>
      <c r="D191" s="8" t="inlineStr">
        <is>
          <t>Add Session — Session Info Fields</t>
        </is>
      </c>
      <c r="E191" s="7" t="inlineStr">
        <is>
          <t>Input matrix</t>
        </is>
      </c>
      <c r="F191" s="7" t="inlineStr">
        <is>
          <t>P2</t>
        </is>
      </c>
      <c r="G191" s="7" t="inlineStr">
        <is>
          <t>Description empty vs filled.</t>
        </is>
      </c>
      <c r="H191" s="7" t="inlineStr">
        <is>
          <t>paragraph</t>
        </is>
      </c>
      <c r="I191" s="7" t="inlineStr">
        <is>
          <t>Saves both cases.</t>
        </is>
      </c>
      <c r="J191" s="7" t="inlineStr">
        <is>
          <t>— Not tested</t>
        </is>
      </c>
      <c r="K191" s="7" t="inlineStr">
        <is>
          <t>— Not tested</t>
        </is>
      </c>
      <c r="L191" s="7" t="inlineStr">
        <is>
          <t>— Not tested</t>
        </is>
      </c>
    </row>
    <row r="192">
      <c r="A192" s="8" t="n">
        <v>191</v>
      </c>
      <c r="B192" s="8" t="inlineStr">
        <is>
          <t>2 — Sessions</t>
        </is>
      </c>
      <c r="C192" s="8" t="n">
        <v>19</v>
      </c>
      <c r="D192" s="8" t="inlineStr">
        <is>
          <t>Add Session — Asset Class &amp; Symbols</t>
        </is>
      </c>
      <c r="E192" s="7" t="inlineStr">
        <is>
          <t>Configuration</t>
        </is>
      </c>
      <c r="F192" s="7" t="inlineStr">
        <is>
          <t>P0</t>
        </is>
      </c>
      <c r="G192" s="7" t="inlineStr">
        <is>
          <t>Set asset class **Forex**; open symbol picker.</t>
        </is>
      </c>
      <c r="H192" s="7" t="inlineStr">
        <is>
          <t>Forex</t>
        </is>
      </c>
      <c r="I192" s="7" t="inlineStr">
        <is>
          <t>Picker shows Forex symbols; can add to session.</t>
        </is>
      </c>
      <c r="J192" s="7" t="inlineStr">
        <is>
          <t>— Not tested</t>
        </is>
      </c>
      <c r="K192" s="7" t="inlineStr">
        <is>
          <t>— Not tested</t>
        </is>
      </c>
      <c r="L192" s="7" t="inlineStr">
        <is>
          <t>— Not tested</t>
        </is>
      </c>
    </row>
    <row r="193">
      <c r="A193" s="8" t="n">
        <v>192</v>
      </c>
      <c r="B193" s="8" t="inlineStr">
        <is>
          <t>2 — Sessions</t>
        </is>
      </c>
      <c r="C193" s="8" t="n">
        <v>19</v>
      </c>
      <c r="D193" s="8" t="inlineStr">
        <is>
          <t>Add Session — Asset Class &amp; Symbols</t>
        </is>
      </c>
      <c r="E193" s="7" t="inlineStr">
        <is>
          <t>Configuration</t>
        </is>
      </c>
      <c r="F193" s="7" t="inlineStr">
        <is>
          <t>P0</t>
        </is>
      </c>
      <c r="G193" s="7" t="inlineStr">
        <is>
          <t>Set asset class **Futures**; open symbol picker.</t>
        </is>
      </c>
      <c r="H193" s="7" t="inlineStr">
        <is>
          <t>Futures</t>
        </is>
      </c>
      <c r="I193" s="7" t="inlineStr">
        <is>
          <t>Picker shows Futures symbols; can add to session.</t>
        </is>
      </c>
      <c r="J193" s="7" t="inlineStr">
        <is>
          <t>— Not tested</t>
        </is>
      </c>
      <c r="K193" s="7" t="inlineStr">
        <is>
          <t>— Not tested</t>
        </is>
      </c>
      <c r="L193" s="7" t="inlineStr">
        <is>
          <t>— Not tested</t>
        </is>
      </c>
    </row>
    <row r="194">
      <c r="A194" s="8" t="n">
        <v>193</v>
      </c>
      <c r="B194" s="8" t="inlineStr">
        <is>
          <t>2 — Sessions</t>
        </is>
      </c>
      <c r="C194" s="8" t="n">
        <v>19</v>
      </c>
      <c r="D194" s="8" t="inlineStr">
        <is>
          <t>Add Session — Asset Class &amp; Symbols</t>
        </is>
      </c>
      <c r="E194" s="7" t="inlineStr">
        <is>
          <t>Configuration</t>
        </is>
      </c>
      <c r="F194" s="7" t="inlineStr">
        <is>
          <t>P0</t>
        </is>
      </c>
      <c r="G194" s="7" t="inlineStr">
        <is>
          <t>Set asset class **Stocks**; open symbol picker.</t>
        </is>
      </c>
      <c r="H194" s="7" t="inlineStr">
        <is>
          <t>Stocks</t>
        </is>
      </c>
      <c r="I194" s="7" t="inlineStr">
        <is>
          <t>Picker shows Stocks symbols; can add to session.</t>
        </is>
      </c>
      <c r="J194" s="7" t="inlineStr">
        <is>
          <t>— Not tested</t>
        </is>
      </c>
      <c r="K194" s="7" t="inlineStr">
        <is>
          <t>— Not tested</t>
        </is>
      </c>
      <c r="L194" s="7" t="inlineStr">
        <is>
          <t>— Not tested</t>
        </is>
      </c>
    </row>
    <row r="195">
      <c r="A195" s="8" t="n">
        <v>194</v>
      </c>
      <c r="B195" s="8" t="inlineStr">
        <is>
          <t>2 — Sessions</t>
        </is>
      </c>
      <c r="C195" s="8" t="n">
        <v>19</v>
      </c>
      <c r="D195" s="8" t="inlineStr">
        <is>
          <t>Add Session — Asset Class &amp; Symbols</t>
        </is>
      </c>
      <c r="E195" s="7" t="inlineStr">
        <is>
          <t>Configuration</t>
        </is>
      </c>
      <c r="F195" s="7" t="inlineStr">
        <is>
          <t>P0</t>
        </is>
      </c>
      <c r="G195" s="7" t="inlineStr">
        <is>
          <t>Set asset class **Crypto**; open symbol picker.</t>
        </is>
      </c>
      <c r="H195" s="7" t="inlineStr">
        <is>
          <t>Crypto</t>
        </is>
      </c>
      <c r="I195" s="7" t="inlineStr">
        <is>
          <t>Picker shows Crypto symbols; can add to session.</t>
        </is>
      </c>
      <c r="J195" s="7" t="inlineStr">
        <is>
          <t>— Not tested</t>
        </is>
      </c>
      <c r="K195" s="7" t="inlineStr">
        <is>
          <t>— Not tested</t>
        </is>
      </c>
      <c r="L195" s="7" t="inlineStr">
        <is>
          <t>— Not tested</t>
        </is>
      </c>
    </row>
    <row r="196">
      <c r="A196" s="8" t="n">
        <v>195</v>
      </c>
      <c r="B196" s="8" t="inlineStr">
        <is>
          <t>2 — Sessions</t>
        </is>
      </c>
      <c r="C196" s="8" t="n">
        <v>19</v>
      </c>
      <c r="D196" s="8" t="inlineStr">
        <is>
          <t>Add Session — Asset Class &amp; Symbols</t>
        </is>
      </c>
      <c r="E196" s="7" t="inlineStr">
        <is>
          <t>Edge</t>
        </is>
      </c>
      <c r="F196" s="7" t="inlineStr">
        <is>
          <t>P0</t>
        </is>
      </c>
      <c r="G196" s="7" t="inlineStr">
        <is>
          <t>Add 1 primary ticker.</t>
        </is>
      </c>
      <c r="H196" s="7" t="inlineStr">
        <is>
          <t>EURUSD</t>
        </is>
      </c>
      <c r="I196" s="7" t="inlineStr">
        <is>
          <t>Chip appears; required met.</t>
        </is>
      </c>
      <c r="J196" s="7" t="inlineStr">
        <is>
          <t>— Not tested</t>
        </is>
      </c>
      <c r="K196" s="7" t="inlineStr">
        <is>
          <t>— Not tested</t>
        </is>
      </c>
      <c r="L196" s="7" t="inlineStr">
        <is>
          <t>— Not tested</t>
        </is>
      </c>
    </row>
    <row r="197">
      <c r="A197" s="8" t="n">
        <v>196</v>
      </c>
      <c r="B197" s="8" t="inlineStr">
        <is>
          <t>2 — Sessions</t>
        </is>
      </c>
      <c r="C197" s="8" t="n">
        <v>19</v>
      </c>
      <c r="D197" s="8" t="inlineStr">
        <is>
          <t>Add Session — Asset Class &amp; Symbols</t>
        </is>
      </c>
      <c r="E197" s="7" t="inlineStr">
        <is>
          <t>Edge</t>
        </is>
      </c>
      <c r="F197" s="7" t="inlineStr">
        <is>
          <t>P0</t>
        </is>
      </c>
      <c r="G197" s="7" t="inlineStr">
        <is>
          <t>Add tickers up to plan max (default 5).</t>
        </is>
      </c>
      <c r="H197" s="7" t="inlineStr">
        <is>
          <t>5 symbols</t>
        </is>
      </c>
      <c r="I197" s="7" t="inlineStr">
        <is>
          <t>Counter shows 5/5.</t>
        </is>
      </c>
      <c r="J197" s="7" t="inlineStr">
        <is>
          <t>— Not tested</t>
        </is>
      </c>
      <c r="K197" s="7" t="inlineStr">
        <is>
          <t>— Not tested</t>
        </is>
      </c>
      <c r="L197" s="7" t="inlineStr">
        <is>
          <t>— Not tested</t>
        </is>
      </c>
    </row>
    <row r="198">
      <c r="A198" s="8" t="n">
        <v>197</v>
      </c>
      <c r="B198" s="8" t="inlineStr">
        <is>
          <t>2 — Sessions</t>
        </is>
      </c>
      <c r="C198" s="8" t="n">
        <v>19</v>
      </c>
      <c r="D198" s="8" t="inlineStr">
        <is>
          <t>Add Session — Asset Class &amp; Symbols</t>
        </is>
      </c>
      <c r="E198" s="7" t="inlineStr">
        <is>
          <t>Edge</t>
        </is>
      </c>
      <c r="F198" s="7" t="inlineStr">
        <is>
          <t>P0</t>
        </is>
      </c>
      <c r="G198" s="7" t="inlineStr">
        <is>
          <t>Try 6th ticker on standard plan.</t>
        </is>
      </c>
      <c r="H198" s="7" t="inlineStr">
        <is>
          <t>6th</t>
        </is>
      </c>
      <c r="I198" s="7" t="inlineStr">
        <is>
          <t>Blocked or dimmed at cap.</t>
        </is>
      </c>
      <c r="J198" s="7" t="inlineStr">
        <is>
          <t>— Not tested</t>
        </is>
      </c>
      <c r="K198" s="7" t="inlineStr">
        <is>
          <t>— Not tested</t>
        </is>
      </c>
      <c r="L198" s="7" t="inlineStr">
        <is>
          <t>— Not tested</t>
        </is>
      </c>
    </row>
    <row r="199">
      <c r="A199" s="8" t="n">
        <v>198</v>
      </c>
      <c r="B199" s="8" t="inlineStr">
        <is>
          <t>2 — Sessions</t>
        </is>
      </c>
      <c r="C199" s="8" t="n">
        <v>19</v>
      </c>
      <c r="D199" s="8" t="inlineStr">
        <is>
          <t>Add Session — Asset Class &amp; Symbols</t>
        </is>
      </c>
      <c r="E199" s="7" t="inlineStr">
        <is>
          <t>Edge</t>
        </is>
      </c>
      <c r="F199" s="7" t="inlineStr">
        <is>
          <t>P1</t>
        </is>
      </c>
      <c r="G199" s="7" t="inlineStr">
        <is>
          <t>Remove ticker chip.</t>
        </is>
      </c>
      <c r="H199" s="7" t="inlineStr">
        <is>
          <t>× on chip</t>
        </is>
      </c>
      <c r="I199" s="7" t="inlineStr">
        <is>
          <t>Ticker removed.</t>
        </is>
      </c>
      <c r="J199" s="7" t="inlineStr">
        <is>
          <t>— Not tested</t>
        </is>
      </c>
      <c r="K199" s="7" t="inlineStr">
        <is>
          <t>— Not tested</t>
        </is>
      </c>
      <c r="L199" s="7" t="inlineStr">
        <is>
          <t>— Not tested</t>
        </is>
      </c>
    </row>
    <row r="200">
      <c r="A200" s="8" t="n">
        <v>199</v>
      </c>
      <c r="B200" s="8" t="inlineStr">
        <is>
          <t>2 — Sessions</t>
        </is>
      </c>
      <c r="C200" s="8" t="n">
        <v>19</v>
      </c>
      <c r="D200" s="8" t="inlineStr">
        <is>
          <t>Add Session — Asset Class &amp; Symbols</t>
        </is>
      </c>
      <c r="E200" s="7" t="inlineStr">
        <is>
          <t>Edge</t>
        </is>
      </c>
      <c r="F200" s="7" t="inlineStr">
        <is>
          <t>P2</t>
        </is>
      </c>
      <c r="G200" s="7" t="inlineStr">
        <is>
          <t>Random ticker picker — set count 3 → apply.</t>
        </is>
      </c>
      <c r="H200" s="7" t="inlineStr">
        <is>
          <t>random 3</t>
        </is>
      </c>
      <c r="I200" s="7" t="inlineStr">
        <is>
          <t>3 random symbols added.</t>
        </is>
      </c>
      <c r="J200" s="7" t="inlineStr">
        <is>
          <t>— Not tested</t>
        </is>
      </c>
      <c r="K200" s="7" t="inlineStr">
        <is>
          <t>— Not tested</t>
        </is>
      </c>
      <c r="L200" s="7" t="inlineStr">
        <is>
          <t>— Not tested</t>
        </is>
      </c>
    </row>
    <row r="201">
      <c r="A201" s="8" t="n">
        <v>200</v>
      </c>
      <c r="B201" s="8" t="inlineStr">
        <is>
          <t>2 — Sessions</t>
        </is>
      </c>
      <c r="C201" s="8" t="n">
        <v>19</v>
      </c>
      <c r="D201" s="8" t="inlineStr">
        <is>
          <t>Add Session — Asset Class &amp; Symbols</t>
        </is>
      </c>
      <c r="E201" s="7" t="inlineStr">
        <is>
          <t>Edge</t>
        </is>
      </c>
      <c r="F201" s="7" t="inlineStr">
        <is>
          <t>P1</t>
        </is>
      </c>
      <c r="G201" s="7" t="inlineStr">
        <is>
          <t>Symbol search in picker.</t>
        </is>
      </c>
      <c r="H201" s="7" t="inlineStr">
        <is>
          <t>NQ</t>
        </is>
      </c>
      <c r="I201" s="7" t="inlineStr">
        <is>
          <t>Filters list.</t>
        </is>
      </c>
      <c r="J201" s="7" t="inlineStr">
        <is>
          <t>— Not tested</t>
        </is>
      </c>
      <c r="K201" s="7" t="inlineStr">
        <is>
          <t>— Not tested</t>
        </is>
      </c>
      <c r="L201" s="7" t="inlineStr">
        <is>
          <t>— Not tested</t>
        </is>
      </c>
    </row>
    <row r="202">
      <c r="A202" s="8" t="n">
        <v>201</v>
      </c>
      <c r="B202" s="8" t="inlineStr">
        <is>
          <t>2 — Sessions</t>
        </is>
      </c>
      <c r="C202" s="8" t="n">
        <v>19</v>
      </c>
      <c r="D202" s="8" t="inlineStr">
        <is>
          <t>Add Session — Asset Class &amp; Symbols</t>
        </is>
      </c>
      <c r="E202" s="7" t="inlineStr">
        <is>
          <t>Edge</t>
        </is>
      </c>
      <c r="F202" s="7" t="inlineStr">
        <is>
          <t>P2</t>
        </is>
      </c>
      <c r="G202" s="7" t="inlineStr">
        <is>
          <t>Enable supporting tickers; add 2.</t>
        </is>
      </c>
      <c r="H202" s="7" t="inlineStr">
        <is>
          <t>2 support</t>
        </is>
      </c>
      <c r="I202" s="7" t="inlineStr">
        <is>
          <t>Supporting section populated.</t>
        </is>
      </c>
      <c r="J202" s="7" t="inlineStr">
        <is>
          <t>— Not tested</t>
        </is>
      </c>
      <c r="K202" s="7" t="inlineStr">
        <is>
          <t>— Not tested</t>
        </is>
      </c>
      <c r="L202" s="7" t="inlineStr">
        <is>
          <t>— Not tested</t>
        </is>
      </c>
    </row>
    <row r="203">
      <c r="A203" s="8" t="n">
        <v>202</v>
      </c>
      <c r="B203" s="8" t="inlineStr">
        <is>
          <t>2 — Sessions</t>
        </is>
      </c>
      <c r="C203" s="8" t="n">
        <v>19</v>
      </c>
      <c r="D203" s="8" t="inlineStr">
        <is>
          <t>Add Session — Asset Class &amp; Symbols</t>
        </is>
      </c>
      <c r="E203" s="7" t="inlineStr">
        <is>
          <t>Edge</t>
        </is>
      </c>
      <c r="F203" s="7" t="inlineStr">
        <is>
          <t>P1</t>
        </is>
      </c>
      <c r="G203" s="7" t="inlineStr">
        <is>
          <t>Supporting tickers at max cap.</t>
        </is>
      </c>
      <c r="H203" s="7" t="inlineStr">
        <is>
          <t>max support</t>
        </is>
      </c>
      <c r="I203" s="7" t="inlineStr">
        <is>
          <t>Cannot exceed plan supporting limit.</t>
        </is>
      </c>
      <c r="J203" s="7" t="inlineStr">
        <is>
          <t>— Not tested</t>
        </is>
      </c>
      <c r="K203" s="7" t="inlineStr">
        <is>
          <t>— Not tested</t>
        </is>
      </c>
      <c r="L203" s="7" t="inlineStr">
        <is>
          <t>— Not tested</t>
        </is>
      </c>
    </row>
    <row r="204">
      <c r="A204" s="8" t="n">
        <v>203</v>
      </c>
      <c r="B204" s="8" t="inlineStr">
        <is>
          <t>2 — Sessions</t>
        </is>
      </c>
      <c r="C204" s="8" t="n">
        <v>20</v>
      </c>
      <c r="D204" s="8" t="inlineStr">
        <is>
          <t>Add Session — Timeframe &amp; Replay</t>
        </is>
      </c>
      <c r="E204" s="7" t="inlineStr">
        <is>
          <t>Configuration</t>
        </is>
      </c>
      <c r="F204" s="7" t="inlineStr">
        <is>
          <t>P1</t>
        </is>
      </c>
      <c r="G204" s="7" t="inlineStr">
        <is>
          <t>Set timeframe 1m.</t>
        </is>
      </c>
      <c r="H204" s="7" t="inlineStr">
        <is>
          <t>1m</t>
        </is>
      </c>
      <c r="I204" s="7" t="inlineStr">
        <is>
          <t>Saves with session.</t>
        </is>
      </c>
      <c r="J204" s="7" t="inlineStr">
        <is>
          <t>— Not tested</t>
        </is>
      </c>
      <c r="K204" s="7" t="inlineStr">
        <is>
          <t>— Not tested</t>
        </is>
      </c>
      <c r="L204" s="7" t="inlineStr">
        <is>
          <t>— Not tested</t>
        </is>
      </c>
    </row>
    <row r="205">
      <c r="A205" s="8" t="n">
        <v>204</v>
      </c>
      <c r="B205" s="8" t="inlineStr">
        <is>
          <t>2 — Sessions</t>
        </is>
      </c>
      <c r="C205" s="8" t="n">
        <v>20</v>
      </c>
      <c r="D205" s="8" t="inlineStr">
        <is>
          <t>Add Session — Timeframe &amp; Replay</t>
        </is>
      </c>
      <c r="E205" s="7" t="inlineStr">
        <is>
          <t>Configuration</t>
        </is>
      </c>
      <c r="F205" s="7" t="inlineStr">
        <is>
          <t>P1</t>
        </is>
      </c>
      <c r="G205" s="7" t="inlineStr">
        <is>
          <t>Set timeframe 5m.</t>
        </is>
      </c>
      <c r="H205" s="7" t="inlineStr">
        <is>
          <t>5m</t>
        </is>
      </c>
      <c r="I205" s="7" t="inlineStr">
        <is>
          <t>Saves with session.</t>
        </is>
      </c>
      <c r="J205" s="7" t="inlineStr">
        <is>
          <t>— Not tested</t>
        </is>
      </c>
      <c r="K205" s="7" t="inlineStr">
        <is>
          <t>— Not tested</t>
        </is>
      </c>
      <c r="L205" s="7" t="inlineStr">
        <is>
          <t>— Not tested</t>
        </is>
      </c>
    </row>
    <row r="206">
      <c r="A206" s="8" t="n">
        <v>205</v>
      </c>
      <c r="B206" s="8" t="inlineStr">
        <is>
          <t>2 — Sessions</t>
        </is>
      </c>
      <c r="C206" s="8" t="n">
        <v>20</v>
      </c>
      <c r="D206" s="8" t="inlineStr">
        <is>
          <t>Add Session — Timeframe &amp; Replay</t>
        </is>
      </c>
      <c r="E206" s="7" t="inlineStr">
        <is>
          <t>Configuration</t>
        </is>
      </c>
      <c r="F206" s="7" t="inlineStr">
        <is>
          <t>P1</t>
        </is>
      </c>
      <c r="G206" s="7" t="inlineStr">
        <is>
          <t>Set timeframe 15m.</t>
        </is>
      </c>
      <c r="H206" s="7" t="inlineStr">
        <is>
          <t>15m</t>
        </is>
      </c>
      <c r="I206" s="7" t="inlineStr">
        <is>
          <t>Saves with session.</t>
        </is>
      </c>
      <c r="J206" s="7" t="inlineStr">
        <is>
          <t>— Not tested</t>
        </is>
      </c>
      <c r="K206" s="7" t="inlineStr">
        <is>
          <t>— Not tested</t>
        </is>
      </c>
      <c r="L206" s="7" t="inlineStr">
        <is>
          <t>— Not tested</t>
        </is>
      </c>
    </row>
    <row r="207">
      <c r="A207" s="8" t="n">
        <v>206</v>
      </c>
      <c r="B207" s="8" t="inlineStr">
        <is>
          <t>2 — Sessions</t>
        </is>
      </c>
      <c r="C207" s="8" t="n">
        <v>20</v>
      </c>
      <c r="D207" s="8" t="inlineStr">
        <is>
          <t>Add Session — Timeframe &amp; Replay</t>
        </is>
      </c>
      <c r="E207" s="7" t="inlineStr">
        <is>
          <t>Configuration</t>
        </is>
      </c>
      <c r="F207" s="7" t="inlineStr">
        <is>
          <t>P1</t>
        </is>
      </c>
      <c r="G207" s="7" t="inlineStr">
        <is>
          <t>Set timeframe 30m.</t>
        </is>
      </c>
      <c r="H207" s="7" t="inlineStr">
        <is>
          <t>30m</t>
        </is>
      </c>
      <c r="I207" s="7" t="inlineStr">
        <is>
          <t>Saves with session.</t>
        </is>
      </c>
      <c r="J207" s="7" t="inlineStr">
        <is>
          <t>— Not tested</t>
        </is>
      </c>
      <c r="K207" s="7" t="inlineStr">
        <is>
          <t>— Not tested</t>
        </is>
      </c>
      <c r="L207" s="7" t="inlineStr">
        <is>
          <t>— Not tested</t>
        </is>
      </c>
    </row>
    <row r="208">
      <c r="A208" s="8" t="n">
        <v>207</v>
      </c>
      <c r="B208" s="8" t="inlineStr">
        <is>
          <t>2 — Sessions</t>
        </is>
      </c>
      <c r="C208" s="8" t="n">
        <v>20</v>
      </c>
      <c r="D208" s="8" t="inlineStr">
        <is>
          <t>Add Session — Timeframe &amp; Replay</t>
        </is>
      </c>
      <c r="E208" s="7" t="inlineStr">
        <is>
          <t>Configuration</t>
        </is>
      </c>
      <c r="F208" s="7" t="inlineStr">
        <is>
          <t>P1</t>
        </is>
      </c>
      <c r="G208" s="7" t="inlineStr">
        <is>
          <t>Set timeframe 1H.</t>
        </is>
      </c>
      <c r="H208" s="7" t="inlineStr">
        <is>
          <t>1H</t>
        </is>
      </c>
      <c r="I208" s="7" t="inlineStr">
        <is>
          <t>Saves with session.</t>
        </is>
      </c>
      <c r="J208" s="7" t="inlineStr">
        <is>
          <t>— Not tested</t>
        </is>
      </c>
      <c r="K208" s="7" t="inlineStr">
        <is>
          <t>— Not tested</t>
        </is>
      </c>
      <c r="L208" s="7" t="inlineStr">
        <is>
          <t>— Not tested</t>
        </is>
      </c>
    </row>
    <row r="209">
      <c r="A209" s="8" t="n">
        <v>208</v>
      </c>
      <c r="B209" s="8" t="inlineStr">
        <is>
          <t>2 — Sessions</t>
        </is>
      </c>
      <c r="C209" s="8" t="n">
        <v>20</v>
      </c>
      <c r="D209" s="8" t="inlineStr">
        <is>
          <t>Add Session — Timeframe &amp; Replay</t>
        </is>
      </c>
      <c r="E209" s="7" t="inlineStr">
        <is>
          <t>Configuration</t>
        </is>
      </c>
      <c r="F209" s="7" t="inlineStr">
        <is>
          <t>P1</t>
        </is>
      </c>
      <c r="G209" s="7" t="inlineStr">
        <is>
          <t>Set timeframe 4H.</t>
        </is>
      </c>
      <c r="H209" s="7" t="inlineStr">
        <is>
          <t>4H</t>
        </is>
      </c>
      <c r="I209" s="7" t="inlineStr">
        <is>
          <t>Saves with session.</t>
        </is>
      </c>
      <c r="J209" s="7" t="inlineStr">
        <is>
          <t>— Not tested</t>
        </is>
      </c>
      <c r="K209" s="7" t="inlineStr">
        <is>
          <t>— Not tested</t>
        </is>
      </c>
      <c r="L209" s="7" t="inlineStr">
        <is>
          <t>— Not tested</t>
        </is>
      </c>
    </row>
    <row r="210">
      <c r="A210" s="8" t="n">
        <v>209</v>
      </c>
      <c r="B210" s="8" t="inlineStr">
        <is>
          <t>2 — Sessions</t>
        </is>
      </c>
      <c r="C210" s="8" t="n">
        <v>20</v>
      </c>
      <c r="D210" s="8" t="inlineStr">
        <is>
          <t>Add Session — Timeframe &amp; Replay</t>
        </is>
      </c>
      <c r="E210" s="7" t="inlineStr">
        <is>
          <t>Configuration</t>
        </is>
      </c>
      <c r="F210" s="7" t="inlineStr">
        <is>
          <t>P1</t>
        </is>
      </c>
      <c r="G210" s="7" t="inlineStr">
        <is>
          <t>Set timeframe 1D.</t>
        </is>
      </c>
      <c r="H210" s="7" t="inlineStr">
        <is>
          <t>1D</t>
        </is>
      </c>
      <c r="I210" s="7" t="inlineStr">
        <is>
          <t>Saves with session.</t>
        </is>
      </c>
      <c r="J210" s="7" t="inlineStr">
        <is>
          <t>— Not tested</t>
        </is>
      </c>
      <c r="K210" s="7" t="inlineStr">
        <is>
          <t>— Not tested</t>
        </is>
      </c>
      <c r="L210" s="7" t="inlineStr">
        <is>
          <t>— Not tested</t>
        </is>
      </c>
    </row>
    <row r="211">
      <c r="A211" s="8" t="n">
        <v>210</v>
      </c>
      <c r="B211" s="8" t="inlineStr">
        <is>
          <t>2 — Sessions</t>
        </is>
      </c>
      <c r="C211" s="8" t="n">
        <v>20</v>
      </c>
      <c r="D211" s="8" t="inlineStr">
        <is>
          <t>Add Session — Timeframe &amp; Replay</t>
        </is>
      </c>
      <c r="E211" s="7" t="inlineStr">
        <is>
          <t>Configuration</t>
        </is>
      </c>
      <c r="F211" s="7" t="inlineStr">
        <is>
          <t>P1</t>
        </is>
      </c>
      <c r="G211" s="7" t="inlineStr">
        <is>
          <t>Set timeframe 1W.</t>
        </is>
      </c>
      <c r="H211" s="7" t="inlineStr">
        <is>
          <t>1W</t>
        </is>
      </c>
      <c r="I211" s="7" t="inlineStr">
        <is>
          <t>Saves with session.</t>
        </is>
      </c>
      <c r="J211" s="7" t="inlineStr">
        <is>
          <t>— Not tested</t>
        </is>
      </c>
      <c r="K211" s="7" t="inlineStr">
        <is>
          <t>— Not tested</t>
        </is>
      </c>
      <c r="L211" s="7" t="inlineStr">
        <is>
          <t>— Not tested</t>
        </is>
      </c>
    </row>
    <row r="212">
      <c r="A212" s="8" t="n">
        <v>211</v>
      </c>
      <c r="B212" s="8" t="inlineStr">
        <is>
          <t>2 — Sessions</t>
        </is>
      </c>
      <c r="C212" s="8" t="n">
        <v>20</v>
      </c>
      <c r="D212" s="8" t="inlineStr">
        <is>
          <t>Add Session — Timeframe &amp; Replay</t>
        </is>
      </c>
      <c r="E212" s="7" t="inlineStr">
        <is>
          <t>Configuration</t>
        </is>
      </c>
      <c r="F212" s="7" t="inlineStr">
        <is>
          <t>P1</t>
        </is>
      </c>
      <c r="G212" s="7" t="inlineStr">
        <is>
          <t>Set timeframe 1M.</t>
        </is>
      </c>
      <c r="H212" s="7" t="inlineStr">
        <is>
          <t>1M</t>
        </is>
      </c>
      <c r="I212" s="7" t="inlineStr">
        <is>
          <t>Saves with session.</t>
        </is>
      </c>
      <c r="J212" s="7" t="inlineStr">
        <is>
          <t>— Not tested</t>
        </is>
      </c>
      <c r="K212" s="7" t="inlineStr">
        <is>
          <t>— Not tested</t>
        </is>
      </c>
      <c r="L212" s="7" t="inlineStr">
        <is>
          <t>— Not tested</t>
        </is>
      </c>
    </row>
    <row r="213">
      <c r="A213" s="8" t="n">
        <v>212</v>
      </c>
      <c r="B213" s="8" t="inlineStr">
        <is>
          <t>2 — Sessions</t>
        </is>
      </c>
      <c r="C213" s="8" t="n">
        <v>20</v>
      </c>
      <c r="D213" s="8" t="inlineStr">
        <is>
          <t>Add Session — Timeframe &amp; Replay</t>
        </is>
      </c>
      <c r="E213" s="7" t="inlineStr">
        <is>
          <t>Configuration</t>
        </is>
      </c>
      <c r="F213" s="7" t="inlineStr">
        <is>
          <t>P1</t>
        </is>
      </c>
      <c r="G213" s="7" t="inlineStr">
        <is>
          <t>Replay mode: Candle.</t>
        </is>
      </c>
      <c r="H213" s="7" t="inlineStr">
        <is>
          <t>candle</t>
        </is>
      </c>
      <c r="I213" s="7" t="inlineStr">
        <is>
          <t>Saves.</t>
        </is>
      </c>
      <c r="J213" s="7" t="inlineStr">
        <is>
          <t>— Not tested</t>
        </is>
      </c>
      <c r="K213" s="7" t="inlineStr">
        <is>
          <t>— Not tested</t>
        </is>
      </c>
      <c r="L213" s="7" t="inlineStr">
        <is>
          <t>— Not tested</t>
        </is>
      </c>
    </row>
    <row r="214">
      <c r="A214" s="8" t="n">
        <v>213</v>
      </c>
      <c r="B214" s="8" t="inlineStr">
        <is>
          <t>2 — Sessions</t>
        </is>
      </c>
      <c r="C214" s="8" t="n">
        <v>20</v>
      </c>
      <c r="D214" s="8" t="inlineStr">
        <is>
          <t>Add Session — Timeframe &amp; Replay</t>
        </is>
      </c>
      <c r="E214" s="7" t="inlineStr">
        <is>
          <t>Configuration</t>
        </is>
      </c>
      <c r="F214" s="7" t="inlineStr">
        <is>
          <t>P1</t>
        </is>
      </c>
      <c r="G214" s="7" t="inlineStr">
        <is>
          <t>Replay mode: Tick.</t>
        </is>
      </c>
      <c r="H214" s="7" t="inlineStr">
        <is>
          <t>tick</t>
        </is>
      </c>
      <c r="I214" s="7" t="inlineStr">
        <is>
          <t>Saves.</t>
        </is>
      </c>
      <c r="J214" s="7" t="inlineStr">
        <is>
          <t>— Not tested</t>
        </is>
      </c>
      <c r="K214" s="7" t="inlineStr">
        <is>
          <t>— Not tested</t>
        </is>
      </c>
      <c r="L214" s="7" t="inlineStr">
        <is>
          <t>— Not tested</t>
        </is>
      </c>
    </row>
    <row r="215">
      <c r="A215" s="8" t="n">
        <v>214</v>
      </c>
      <c r="B215" s="8" t="inlineStr">
        <is>
          <t>2 — Sessions</t>
        </is>
      </c>
      <c r="C215" s="8" t="n">
        <v>20</v>
      </c>
      <c r="D215" s="8" t="inlineStr">
        <is>
          <t>Add Session — Timeframe &amp; Replay</t>
        </is>
      </c>
      <c r="E215" s="7" t="inlineStr">
        <is>
          <t>Configuration</t>
        </is>
      </c>
      <c r="F215" s="7" t="inlineStr">
        <is>
          <t>P2</t>
        </is>
      </c>
      <c r="G215" s="7" t="inlineStr">
        <is>
          <t>Replay speed minimum.</t>
        </is>
      </c>
      <c r="H215" s="7" t="inlineStr">
        <is>
          <t>1×</t>
        </is>
      </c>
      <c r="I215" s="7" t="inlineStr">
        <is>
          <t>Slider at low end.</t>
        </is>
      </c>
      <c r="J215" s="7" t="inlineStr">
        <is>
          <t>— Not tested</t>
        </is>
      </c>
      <c r="K215" s="7" t="inlineStr">
        <is>
          <t>— Not tested</t>
        </is>
      </c>
      <c r="L215" s="7" t="inlineStr">
        <is>
          <t>— Not tested</t>
        </is>
      </c>
    </row>
    <row r="216">
      <c r="A216" s="8" t="n">
        <v>215</v>
      </c>
      <c r="B216" s="8" t="inlineStr">
        <is>
          <t>2 — Sessions</t>
        </is>
      </c>
      <c r="C216" s="8" t="n">
        <v>20</v>
      </c>
      <c r="D216" s="8" t="inlineStr">
        <is>
          <t>Add Session — Timeframe &amp; Replay</t>
        </is>
      </c>
      <c r="E216" s="7" t="inlineStr">
        <is>
          <t>Configuration</t>
        </is>
      </c>
      <c r="F216" s="7" t="inlineStr">
        <is>
          <t>P2</t>
        </is>
      </c>
      <c r="G216" s="7" t="inlineStr">
        <is>
          <t>Replay speed maximum.</t>
        </is>
      </c>
      <c r="H216" s="7" t="inlineStr">
        <is>
          <t>60×+</t>
        </is>
      </c>
      <c r="I216" s="7" t="inlineStr">
        <is>
          <t>High speed accepted.</t>
        </is>
      </c>
      <c r="J216" s="7" t="inlineStr">
        <is>
          <t>— Not tested</t>
        </is>
      </c>
      <c r="K216" s="7" t="inlineStr">
        <is>
          <t>— Not tested</t>
        </is>
      </c>
      <c r="L216" s="7" t="inlineStr">
        <is>
          <t>— Not tested</t>
        </is>
      </c>
    </row>
    <row r="217">
      <c r="A217" s="8" t="n">
        <v>216</v>
      </c>
      <c r="B217" s="8" t="inlineStr">
        <is>
          <t>2 — Sessions</t>
        </is>
      </c>
      <c r="C217" s="8" t="n">
        <v>20</v>
      </c>
      <c r="D217" s="8" t="inlineStr">
        <is>
          <t>Add Session — Timeframe &amp; Replay</t>
        </is>
      </c>
      <c r="E217" s="7" t="inlineStr">
        <is>
          <t>Configuration</t>
        </is>
      </c>
      <c r="F217" s="7" t="inlineStr">
        <is>
          <t>P1</t>
        </is>
      </c>
      <c r="G217" s="7" t="inlineStr">
        <is>
          <t>Rollback ON.</t>
        </is>
      </c>
      <c r="H217" s="7" t="inlineStr">
        <is>
          <t>—</t>
        </is>
      </c>
      <c r="I217" s="7" t="inlineStr">
        <is>
          <t>Session allows rewind in chart.</t>
        </is>
      </c>
      <c r="J217" s="7" t="inlineStr">
        <is>
          <t>— Not tested</t>
        </is>
      </c>
      <c r="K217" s="7" t="inlineStr">
        <is>
          <t>— Not tested</t>
        </is>
      </c>
      <c r="L217" s="7" t="inlineStr">
        <is>
          <t>— Not tested</t>
        </is>
      </c>
    </row>
    <row r="218">
      <c r="A218" s="8" t="n">
        <v>217</v>
      </c>
      <c r="B218" s="8" t="inlineStr">
        <is>
          <t>2 — Sessions</t>
        </is>
      </c>
      <c r="C218" s="8" t="n">
        <v>20</v>
      </c>
      <c r="D218" s="8" t="inlineStr">
        <is>
          <t>Add Session — Timeframe &amp; Replay</t>
        </is>
      </c>
      <c r="E218" s="7" t="inlineStr">
        <is>
          <t>Configuration</t>
        </is>
      </c>
      <c r="F218" s="7" t="inlineStr">
        <is>
          <t>P1</t>
        </is>
      </c>
      <c r="G218" s="7" t="inlineStr">
        <is>
          <t>Rollback OFF.</t>
        </is>
      </c>
      <c r="H218" s="7" t="inlineStr">
        <is>
          <t>—</t>
        </is>
      </c>
      <c r="I218" s="7" t="inlineStr">
        <is>
          <t>Rewind blocked in chart.</t>
        </is>
      </c>
      <c r="J218" s="7" t="inlineStr">
        <is>
          <t>— Not tested</t>
        </is>
      </c>
      <c r="K218" s="7" t="inlineStr">
        <is>
          <t>— Not tested</t>
        </is>
      </c>
      <c r="L218" s="7" t="inlineStr">
        <is>
          <t>— Not tested</t>
        </is>
      </c>
    </row>
    <row r="219">
      <c r="A219" s="8" t="n">
        <v>218</v>
      </c>
      <c r="B219" s="8" t="inlineStr">
        <is>
          <t>2 — Sessions</t>
        </is>
      </c>
      <c r="C219" s="8" t="n">
        <v>20</v>
      </c>
      <c r="D219" s="8" t="inlineStr">
        <is>
          <t>Add Session — Timeframe &amp; Replay</t>
        </is>
      </c>
      <c r="E219" s="7" t="inlineStr">
        <is>
          <t>Configuration</t>
        </is>
      </c>
      <c r="F219" s="7" t="inlineStr">
        <is>
          <t>P2</t>
        </is>
      </c>
      <c r="G219" s="7" t="inlineStr">
        <is>
          <t>MFE/MAE tracking ON + 4 hours.</t>
        </is>
      </c>
      <c r="H219" s="7" t="inlineStr">
        <is>
          <t>4h</t>
        </is>
      </c>
      <c r="I219" s="7" t="inlineStr">
        <is>
          <t>Saves.</t>
        </is>
      </c>
      <c r="J219" s="7" t="inlineStr">
        <is>
          <t>— Not tested</t>
        </is>
      </c>
      <c r="K219" s="7" t="inlineStr">
        <is>
          <t>— Not tested</t>
        </is>
      </c>
      <c r="L219" s="7" t="inlineStr">
        <is>
          <t>— Not tested</t>
        </is>
      </c>
    </row>
    <row r="220">
      <c r="A220" s="8" t="n">
        <v>219</v>
      </c>
      <c r="B220" s="8" t="inlineStr">
        <is>
          <t>2 — Sessions</t>
        </is>
      </c>
      <c r="C220" s="8" t="n">
        <v>20</v>
      </c>
      <c r="D220" s="8" t="inlineStr">
        <is>
          <t>Add Session — Timeframe &amp; Replay</t>
        </is>
      </c>
      <c r="E220" s="7" t="inlineStr">
        <is>
          <t>Configuration</t>
        </is>
      </c>
      <c r="F220" s="7" t="inlineStr">
        <is>
          <t>P2</t>
        </is>
      </c>
      <c r="G220" s="7" t="inlineStr">
        <is>
          <t>MFE/MAE tracking OFF.</t>
        </is>
      </c>
      <c r="H220" s="7" t="inlineStr">
        <is>
          <t>—</t>
        </is>
      </c>
      <c r="I220" s="7" t="inlineStr">
        <is>
          <t>Fields disabled.</t>
        </is>
      </c>
      <c r="J220" s="7" t="inlineStr">
        <is>
          <t>— Not tested</t>
        </is>
      </c>
      <c r="K220" s="7" t="inlineStr">
        <is>
          <t>— Not tested</t>
        </is>
      </c>
      <c r="L220" s="7" t="inlineStr">
        <is>
          <t>— Not tested</t>
        </is>
      </c>
    </row>
    <row r="221">
      <c r="A221" s="8" t="n">
        <v>220</v>
      </c>
      <c r="B221" s="8" t="inlineStr">
        <is>
          <t>2 — Sessions</t>
        </is>
      </c>
      <c r="C221" s="8" t="n">
        <v>20</v>
      </c>
      <c r="D221" s="8" t="inlineStr">
        <is>
          <t>Add Session — Timeframe &amp; Replay</t>
        </is>
      </c>
      <c r="E221" s="7" t="inlineStr">
        <is>
          <t>Configuration</t>
        </is>
      </c>
      <c r="F221" s="7" t="inlineStr">
        <is>
          <t>P2</t>
        </is>
      </c>
      <c r="G221" s="7" t="inlineStr">
        <is>
          <t>Post-exit window: hours mode, 4 hours.</t>
        </is>
      </c>
      <c r="H221" s="7" t="inlineStr">
        <is>
          <t>4</t>
        </is>
      </c>
      <c r="I221" s="7" t="inlineStr">
        <is>
          <t>Saves.</t>
        </is>
      </c>
      <c r="J221" s="7" t="inlineStr">
        <is>
          <t>— Not tested</t>
        </is>
      </c>
      <c r="K221" s="7" t="inlineStr">
        <is>
          <t>— Not tested</t>
        </is>
      </c>
      <c r="L221" s="7" t="inlineStr">
        <is>
          <t>— Not tested</t>
        </is>
      </c>
    </row>
    <row r="222">
      <c r="A222" s="8" t="n">
        <v>221</v>
      </c>
      <c r="B222" s="8" t="inlineStr">
        <is>
          <t>2 — Sessions</t>
        </is>
      </c>
      <c r="C222" s="8" t="n">
        <v>20</v>
      </c>
      <c r="D222" s="8" t="inlineStr">
        <is>
          <t>Add Session — Timeframe &amp; Replay</t>
        </is>
      </c>
      <c r="E222" s="7" t="inlineStr">
        <is>
          <t>Configuration</t>
        </is>
      </c>
      <c r="F222" s="7" t="inlineStr">
        <is>
          <t>P2</t>
        </is>
      </c>
      <c r="G222" s="7" t="inlineStr">
        <is>
          <t>Post-exit window: candles mode, 50 candles.</t>
        </is>
      </c>
      <c r="H222" s="7" t="inlineStr">
        <is>
          <t>50</t>
        </is>
      </c>
      <c r="I222" s="7" t="inlineStr">
        <is>
          <t>Saves.</t>
        </is>
      </c>
      <c r="J222" s="7" t="inlineStr">
        <is>
          <t>— Not tested</t>
        </is>
      </c>
      <c r="K222" s="7" t="inlineStr">
        <is>
          <t>— Not tested</t>
        </is>
      </c>
      <c r="L222" s="7" t="inlineStr">
        <is>
          <t>— Not tested</t>
        </is>
      </c>
    </row>
    <row r="223">
      <c r="A223" s="8" t="n">
        <v>222</v>
      </c>
      <c r="B223" s="8" t="inlineStr">
        <is>
          <t>2 — Sessions</t>
        </is>
      </c>
      <c r="C223" s="8" t="n">
        <v>20</v>
      </c>
      <c r="D223" s="8" t="inlineStr">
        <is>
          <t>Add Session — Timeframe &amp; Replay</t>
        </is>
      </c>
      <c r="E223" s="7" t="inlineStr">
        <is>
          <t>Configuration</t>
        </is>
      </c>
      <c r="F223" s="7" t="inlineStr">
        <is>
          <t>P1</t>
        </is>
      </c>
      <c r="G223" s="7" t="inlineStr">
        <is>
          <t>Advanced order ON.</t>
        </is>
      </c>
      <c r="H223" s="7" t="inlineStr">
        <is>
          <t>—</t>
        </is>
      </c>
      <c r="I223" s="7" t="inlineStr">
        <is>
          <t>Chart order panel shows advanced.</t>
        </is>
      </c>
      <c r="J223" s="7" t="inlineStr">
        <is>
          <t>— Not tested</t>
        </is>
      </c>
      <c r="K223" s="7" t="inlineStr">
        <is>
          <t>— Not tested</t>
        </is>
      </c>
      <c r="L223" s="7" t="inlineStr">
        <is>
          <t>— Not tested</t>
        </is>
      </c>
    </row>
    <row r="224">
      <c r="A224" s="8" t="n">
        <v>223</v>
      </c>
      <c r="B224" s="8" t="inlineStr">
        <is>
          <t>2 — Sessions</t>
        </is>
      </c>
      <c r="C224" s="8" t="n">
        <v>20</v>
      </c>
      <c r="D224" s="8" t="inlineStr">
        <is>
          <t>Add Session — Timeframe &amp; Replay</t>
        </is>
      </c>
      <c r="E224" s="7" t="inlineStr">
        <is>
          <t>Configuration</t>
        </is>
      </c>
      <c r="F224" s="7" t="inlineStr">
        <is>
          <t>P1</t>
        </is>
      </c>
      <c r="G224" s="7" t="inlineStr">
        <is>
          <t>Advanced order OFF.</t>
        </is>
      </c>
      <c r="H224" s="7" t="inlineStr">
        <is>
          <t>—</t>
        </is>
      </c>
      <c r="I224" s="7" t="inlineStr">
        <is>
          <t>Basic orders only.</t>
        </is>
      </c>
      <c r="J224" s="7" t="inlineStr">
        <is>
          <t>— Not tested</t>
        </is>
      </c>
      <c r="K224" s="7" t="inlineStr">
        <is>
          <t>— Not tested</t>
        </is>
      </c>
      <c r="L224" s="7" t="inlineStr">
        <is>
          <t>— Not tested</t>
        </is>
      </c>
    </row>
    <row r="225">
      <c r="A225" s="8" t="n">
        <v>224</v>
      </c>
      <c r="B225" s="8" t="inlineStr">
        <is>
          <t>2 — Sessions</t>
        </is>
      </c>
      <c r="C225" s="8" t="n">
        <v>21</v>
      </c>
      <c r="D225" s="8" t="inlineStr">
        <is>
          <t>Add Session — Date Range</t>
        </is>
      </c>
      <c r="E225" s="7" t="inlineStr">
        <is>
          <t>Input matrix</t>
        </is>
      </c>
      <c r="F225" s="7" t="inlineStr">
        <is>
          <t>P0</t>
        </is>
      </c>
      <c r="G225" s="7" t="inlineStr">
        <is>
          <t>Valid range: 1 year.</t>
        </is>
      </c>
      <c r="H225" s="7" t="inlineStr">
        <is>
          <t>2023-01-01 to 2023-12-31</t>
        </is>
      </c>
      <c r="I225" s="7" t="inlineStr">
        <is>
          <t>Accepts; calendar highlights range.</t>
        </is>
      </c>
      <c r="J225" s="7" t="inlineStr">
        <is>
          <t>— Not tested</t>
        </is>
      </c>
      <c r="K225" s="7" t="inlineStr">
        <is>
          <t>— Not tested</t>
        </is>
      </c>
      <c r="L225" s="7" t="inlineStr">
        <is>
          <t>— Not tested</t>
        </is>
      </c>
    </row>
    <row r="226">
      <c r="A226" s="8" t="n">
        <v>225</v>
      </c>
      <c r="B226" s="8" t="inlineStr">
        <is>
          <t>2 — Sessions</t>
        </is>
      </c>
      <c r="C226" s="8" t="n">
        <v>21</v>
      </c>
      <c r="D226" s="8" t="inlineStr">
        <is>
          <t>Add Session — Date Range</t>
        </is>
      </c>
      <c r="E226" s="7" t="inlineStr">
        <is>
          <t>Input matrix</t>
        </is>
      </c>
      <c r="F226" s="7" t="inlineStr">
        <is>
          <t>P1</t>
        </is>
      </c>
      <c r="G226" s="7" t="inlineStr">
        <is>
          <t>Same start and end date.</t>
        </is>
      </c>
      <c r="H226" s="7" t="inlineStr">
        <is>
          <t>one day</t>
        </is>
      </c>
      <c r="I226" s="7" t="inlineStr">
        <is>
          <t>Single-day session allowed or blocked — note.</t>
        </is>
      </c>
      <c r="J226" s="7" t="inlineStr">
        <is>
          <t>— Not tested</t>
        </is>
      </c>
      <c r="K226" s="7" t="inlineStr">
        <is>
          <t>— Not tested</t>
        </is>
      </c>
      <c r="L226" s="7" t="inlineStr">
        <is>
          <t>— Not tested</t>
        </is>
      </c>
    </row>
    <row r="227">
      <c r="A227" s="8" t="n">
        <v>226</v>
      </c>
      <c r="B227" s="8" t="inlineStr">
        <is>
          <t>2 — Sessions</t>
        </is>
      </c>
      <c r="C227" s="8" t="n">
        <v>21</v>
      </c>
      <c r="D227" s="8" t="inlineStr">
        <is>
          <t>Add Session — Date Range</t>
        </is>
      </c>
      <c r="E227" s="7" t="inlineStr">
        <is>
          <t>Input matrix</t>
        </is>
      </c>
      <c r="F227" s="7" t="inlineStr">
        <is>
          <t>P0</t>
        </is>
      </c>
      <c r="G227" s="7" t="inlineStr">
        <is>
          <t>End before start.</t>
        </is>
      </c>
      <c r="H227" s="7" t="inlineStr">
        <is>
          <t>inverted</t>
        </is>
      </c>
      <c r="I227" s="7" t="inlineStr">
        <is>
          <t>Error or auto-swap.</t>
        </is>
      </c>
      <c r="J227" s="7" t="inlineStr">
        <is>
          <t>— Not tested</t>
        </is>
      </c>
      <c r="K227" s="7" t="inlineStr">
        <is>
          <t>— Not tested</t>
        </is>
      </c>
      <c r="L227" s="7" t="inlineStr">
        <is>
          <t>— Not tested</t>
        </is>
      </c>
    </row>
    <row r="228">
      <c r="A228" s="8" t="n">
        <v>227</v>
      </c>
      <c r="B228" s="8" t="inlineStr">
        <is>
          <t>2 — Sessions</t>
        </is>
      </c>
      <c r="C228" s="8" t="n">
        <v>21</v>
      </c>
      <c r="D228" s="8" t="inlineStr">
        <is>
          <t>Add Session — Date Range</t>
        </is>
      </c>
      <c r="E228" s="7" t="inlineStr">
        <is>
          <t>Input matrix</t>
        </is>
      </c>
      <c r="F228" s="7" t="inlineStr">
        <is>
          <t>P2</t>
        </is>
      </c>
      <c r="G228" s="7" t="inlineStr">
        <is>
          <t>Range 10+ years.</t>
        </is>
      </c>
      <c r="H228" s="7" t="inlineStr">
        <is>
          <t>long range</t>
        </is>
      </c>
      <c r="I228" s="7" t="inlineStr">
        <is>
          <t>Accepts or warns on data availability.</t>
        </is>
      </c>
      <c r="J228" s="7" t="inlineStr">
        <is>
          <t>— Not tested</t>
        </is>
      </c>
      <c r="K228" s="7" t="inlineStr">
        <is>
          <t>— Not tested</t>
        </is>
      </c>
      <c r="L228" s="7" t="inlineStr">
        <is>
          <t>— Not tested</t>
        </is>
      </c>
    </row>
    <row r="229">
      <c r="A229" s="8" t="n">
        <v>228</v>
      </c>
      <c r="B229" s="8" t="inlineStr">
        <is>
          <t>2 — Sessions</t>
        </is>
      </c>
      <c r="C229" s="8" t="n">
        <v>21</v>
      </c>
      <c r="D229" s="8" t="inlineStr">
        <is>
          <t>Add Session — Date Range</t>
        </is>
      </c>
      <c r="E229" s="7" t="inlineStr">
        <is>
          <t>Input matrix</t>
        </is>
      </c>
      <c r="F229" s="7" t="inlineStr">
        <is>
          <t>P2</t>
        </is>
      </c>
      <c r="G229" s="7" t="inlineStr">
        <is>
          <t>Start date in far past.</t>
        </is>
      </c>
      <c r="H229" s="7" t="inlineStr">
        <is>
          <t>1990</t>
        </is>
      </c>
      <c r="I229" s="7" t="inlineStr">
        <is>
          <t>Clamped to available data or error.</t>
        </is>
      </c>
      <c r="J229" s="7" t="inlineStr">
        <is>
          <t>— Not tested</t>
        </is>
      </c>
      <c r="K229" s="7" t="inlineStr">
        <is>
          <t>— Not tested</t>
        </is>
      </c>
      <c r="L229" s="7" t="inlineStr">
        <is>
          <t>— Not tested</t>
        </is>
      </c>
    </row>
    <row r="230">
      <c r="A230" s="8" t="n">
        <v>229</v>
      </c>
      <c r="B230" s="8" t="inlineStr">
        <is>
          <t>2 — Sessions</t>
        </is>
      </c>
      <c r="C230" s="8" t="n">
        <v>21</v>
      </c>
      <c r="D230" s="8" t="inlineStr">
        <is>
          <t>Add Session — Date Range</t>
        </is>
      </c>
      <c r="E230" s="7" t="inlineStr">
        <is>
          <t>Input matrix</t>
        </is>
      </c>
      <c r="F230" s="7" t="inlineStr">
        <is>
          <t>P1</t>
        </is>
      </c>
      <c r="G230" s="7" t="inlineStr">
        <is>
          <t>End date in future.</t>
        </is>
      </c>
      <c r="H230" s="7" t="inlineStr">
        <is>
          <t>future</t>
        </is>
      </c>
      <c r="I230" s="7" t="inlineStr">
        <is>
          <t>Blocked or clamped to today.</t>
        </is>
      </c>
      <c r="J230" s="7" t="inlineStr">
        <is>
          <t>— Not tested</t>
        </is>
      </c>
      <c r="K230" s="7" t="inlineStr">
        <is>
          <t>— Not tested</t>
        </is>
      </c>
      <c r="L230" s="7" t="inlineStr">
        <is>
          <t>— Not tested</t>
        </is>
      </c>
    </row>
    <row r="231">
      <c r="A231" s="8" t="n">
        <v>230</v>
      </c>
      <c r="B231" s="8" t="inlineStr">
        <is>
          <t>2 — Sessions</t>
        </is>
      </c>
      <c r="C231" s="8" t="n">
        <v>21</v>
      </c>
      <c r="D231" s="8" t="inlineStr">
        <is>
          <t>Add Session — Date Range</t>
        </is>
      </c>
      <c r="E231" s="7" t="inlineStr">
        <is>
          <t>Input matrix</t>
        </is>
      </c>
      <c r="F231" s="7" t="inlineStr">
        <is>
          <t>P1</t>
        </is>
      </c>
      <c r="G231" s="7" t="inlineStr">
        <is>
          <t>Manual type invalid date.</t>
        </is>
      </c>
      <c r="H231" s="7" t="inlineStr">
        <is>
          <t>2023-02-30</t>
        </is>
      </c>
      <c r="I231" s="7" t="inlineStr">
        <is>
          <t>Rejected.</t>
        </is>
      </c>
      <c r="J231" s="7" t="inlineStr">
        <is>
          <t>— Not tested</t>
        </is>
      </c>
      <c r="K231" s="7" t="inlineStr">
        <is>
          <t>— Not tested</t>
        </is>
      </c>
      <c r="L231" s="7" t="inlineStr">
        <is>
          <t>— Not tested</t>
        </is>
      </c>
    </row>
    <row r="232">
      <c r="A232" s="8" t="n">
        <v>231</v>
      </c>
      <c r="B232" s="8" t="inlineStr">
        <is>
          <t>2 — Sessions</t>
        </is>
      </c>
      <c r="C232" s="8" t="n">
        <v>21</v>
      </c>
      <c r="D232" s="8" t="inlineStr">
        <is>
          <t>Add Session — Date Range</t>
        </is>
      </c>
      <c r="E232" s="7" t="inlineStr">
        <is>
          <t>Input matrix</t>
        </is>
      </c>
      <c r="F232" s="7" t="inlineStr">
        <is>
          <t>P1</t>
        </is>
      </c>
      <c r="G232" s="7" t="inlineStr">
        <is>
          <t>Quick preset: YTD.</t>
        </is>
      </c>
      <c r="H232" s="7" t="inlineStr">
        <is>
          <t>preset</t>
        </is>
      </c>
      <c r="I232" s="7" t="inlineStr">
        <is>
          <t>Range auto-fills.</t>
        </is>
      </c>
      <c r="J232" s="7" t="inlineStr">
        <is>
          <t>— Not tested</t>
        </is>
      </c>
      <c r="K232" s="7" t="inlineStr">
        <is>
          <t>— Not tested</t>
        </is>
      </c>
      <c r="L232" s="7" t="inlineStr">
        <is>
          <t>— Not tested</t>
        </is>
      </c>
    </row>
    <row r="233">
      <c r="A233" s="8" t="n">
        <v>232</v>
      </c>
      <c r="B233" s="8" t="inlineStr">
        <is>
          <t>2 — Sessions</t>
        </is>
      </c>
      <c r="C233" s="8" t="n">
        <v>21</v>
      </c>
      <c r="D233" s="8" t="inlineStr">
        <is>
          <t>Add Session — Date Range</t>
        </is>
      </c>
      <c r="E233" s="7" t="inlineStr">
        <is>
          <t>Input matrix</t>
        </is>
      </c>
      <c r="F233" s="7" t="inlineStr">
        <is>
          <t>P1</t>
        </is>
      </c>
      <c r="G233" s="7" t="inlineStr">
        <is>
          <t>Quick preset: 1Y / 6M / 3M.</t>
        </is>
      </c>
      <c r="H233" s="7" t="inlineStr">
        <is>
          <t>each preset</t>
        </is>
      </c>
      <c r="I233" s="7" t="inlineStr">
        <is>
          <t>Each fills correct range.</t>
        </is>
      </c>
      <c r="J233" s="7" t="inlineStr">
        <is>
          <t>— Not tested</t>
        </is>
      </c>
      <c r="K233" s="7" t="inlineStr">
        <is>
          <t>— Not tested</t>
        </is>
      </c>
      <c r="L233" s="7" t="inlineStr">
        <is>
          <t>— Not tested</t>
        </is>
      </c>
    </row>
    <row r="234">
      <c r="A234" s="8" t="n">
        <v>233</v>
      </c>
      <c r="B234" s="8" t="inlineStr">
        <is>
          <t>2 — Sessions</t>
        </is>
      </c>
      <c r="C234" s="8" t="n">
        <v>21</v>
      </c>
      <c r="D234" s="8" t="inlineStr">
        <is>
          <t>Add Session — Date Range</t>
        </is>
      </c>
      <c r="E234" s="7" t="inlineStr">
        <is>
          <t>Input matrix</t>
        </is>
      </c>
      <c r="F234" s="7" t="inlineStr">
        <is>
          <t>P2</t>
        </is>
      </c>
      <c r="G234" s="7" t="inlineStr">
        <is>
          <t>N-bars mode: 500 bars.</t>
        </is>
      </c>
      <c r="H234" s="7" t="inlineStr">
        <is>
          <t>500</t>
        </is>
      </c>
      <c r="I234" s="7" t="inlineStr">
        <is>
          <t>Uses last N bars instead of calendar.</t>
        </is>
      </c>
      <c r="J234" s="7" t="inlineStr">
        <is>
          <t>— Not tested</t>
        </is>
      </c>
      <c r="K234" s="7" t="inlineStr">
        <is>
          <t>— Not tested</t>
        </is>
      </c>
      <c r="L234" s="7" t="inlineStr">
        <is>
          <t>— Not tested</t>
        </is>
      </c>
    </row>
    <row r="235">
      <c r="A235" s="8" t="n">
        <v>234</v>
      </c>
      <c r="B235" s="8" t="inlineStr">
        <is>
          <t>2 — Sessions</t>
        </is>
      </c>
      <c r="C235" s="8" t="n">
        <v>21</v>
      </c>
      <c r="D235" s="8" t="inlineStr">
        <is>
          <t>Add Session — Date Range</t>
        </is>
      </c>
      <c r="E235" s="7" t="inlineStr">
        <is>
          <t>Input matrix</t>
        </is>
      </c>
      <c r="F235" s="7" t="inlineStr">
        <is>
          <t>P2</t>
        </is>
      </c>
      <c r="G235" s="7" t="inlineStr">
        <is>
          <t>N-bars mode: 1 bar.</t>
        </is>
      </c>
      <c r="H235" s="7" t="inlineStr">
        <is>
          <t>1</t>
        </is>
      </c>
      <c r="I235" s="7" t="inlineStr">
        <is>
          <t>Extreme minimum.</t>
        </is>
      </c>
      <c r="J235" s="7" t="inlineStr">
        <is>
          <t>— Not tested</t>
        </is>
      </c>
      <c r="K235" s="7" t="inlineStr">
        <is>
          <t>— Not tested</t>
        </is>
      </c>
      <c r="L235" s="7" t="inlineStr">
        <is>
          <t>— Not tested</t>
        </is>
      </c>
    </row>
    <row r="236">
      <c r="A236" s="8" t="n">
        <v>235</v>
      </c>
      <c r="B236" s="8" t="inlineStr">
        <is>
          <t>2 — Sessions</t>
        </is>
      </c>
      <c r="C236" s="8" t="n">
        <v>21</v>
      </c>
      <c r="D236" s="8" t="inlineStr">
        <is>
          <t>Add Session — Date Range</t>
        </is>
      </c>
      <c r="E236" s="7" t="inlineStr">
        <is>
          <t>Input matrix</t>
        </is>
      </c>
      <c r="F236" s="7" t="inlineStr">
        <is>
          <t>P2</t>
        </is>
      </c>
      <c r="G236" s="7" t="inlineStr">
        <is>
          <t>N-bars mode: 50000 bars.</t>
        </is>
      </c>
      <c r="H236" s="7" t="inlineStr">
        <is>
          <t>50000</t>
        </is>
      </c>
      <c r="I236" s="7" t="inlineStr">
        <is>
          <t>Extreme maximum — note performance.</t>
        </is>
      </c>
      <c r="J236" s="7" t="inlineStr">
        <is>
          <t>— Not tested</t>
        </is>
      </c>
      <c r="K236" s="7" t="inlineStr">
        <is>
          <t>— Not tested</t>
        </is>
      </c>
      <c r="L236" s="7" t="inlineStr">
        <is>
          <t>— Not tested</t>
        </is>
      </c>
    </row>
    <row r="237">
      <c r="A237" s="8" t="n">
        <v>236</v>
      </c>
      <c r="B237" s="8" t="inlineStr">
        <is>
          <t>2 — Sessions</t>
        </is>
      </c>
      <c r="C237" s="8" t="n">
        <v>22</v>
      </c>
      <c r="D237" s="8" t="inlineStr">
        <is>
          <t>Add Session — Account &amp; Costs</t>
        </is>
      </c>
      <c r="E237" s="7" t="inlineStr">
        <is>
          <t>Input matrix</t>
        </is>
      </c>
      <c r="F237" s="7" t="inlineStr">
        <is>
          <t>P1</t>
        </is>
      </c>
      <c r="G237" s="7" t="inlineStr">
        <is>
          <t>Capital = 100 (minimum realistic).</t>
        </is>
      </c>
      <c r="H237" s="7" t="inlineStr">
        <is>
          <t>100</t>
        </is>
      </c>
      <c r="I237" s="7" t="inlineStr">
        <is>
          <t>Accepts.</t>
        </is>
      </c>
      <c r="J237" s="7" t="inlineStr">
        <is>
          <t>— Not tested</t>
        </is>
      </c>
      <c r="K237" s="7" t="inlineStr">
        <is>
          <t>— Not tested</t>
        </is>
      </c>
      <c r="L237" s="7" t="inlineStr">
        <is>
          <t>— Not tested</t>
        </is>
      </c>
    </row>
    <row r="238">
      <c r="A238" s="8" t="n">
        <v>237</v>
      </c>
      <c r="B238" s="8" t="inlineStr">
        <is>
          <t>2 — Sessions</t>
        </is>
      </c>
      <c r="C238" s="8" t="n">
        <v>22</v>
      </c>
      <c r="D238" s="8" t="inlineStr">
        <is>
          <t>Add Session — Account &amp; Costs</t>
        </is>
      </c>
      <c r="E238" s="7" t="inlineStr">
        <is>
          <t>Input matrix</t>
        </is>
      </c>
      <c r="F238" s="7" t="inlineStr">
        <is>
          <t>P0</t>
        </is>
      </c>
      <c r="G238" s="7" t="inlineStr">
        <is>
          <t>Capital = 10000 (default).</t>
        </is>
      </c>
      <c r="H238" s="7" t="inlineStr">
        <is>
          <t>10000</t>
        </is>
      </c>
      <c r="I238" s="7" t="inlineStr">
        <is>
          <t>Accepts.</t>
        </is>
      </c>
      <c r="J238" s="7" t="inlineStr">
        <is>
          <t>— Not tested</t>
        </is>
      </c>
      <c r="K238" s="7" t="inlineStr">
        <is>
          <t>— Not tested</t>
        </is>
      </c>
      <c r="L238" s="7" t="inlineStr">
        <is>
          <t>— Not tested</t>
        </is>
      </c>
    </row>
    <row r="239">
      <c r="A239" s="8" t="n">
        <v>238</v>
      </c>
      <c r="B239" s="8" t="inlineStr">
        <is>
          <t>2 — Sessions</t>
        </is>
      </c>
      <c r="C239" s="8" t="n">
        <v>22</v>
      </c>
      <c r="D239" s="8" t="inlineStr">
        <is>
          <t>Add Session — Account &amp; Costs</t>
        </is>
      </c>
      <c r="E239" s="7" t="inlineStr">
        <is>
          <t>Input matrix</t>
        </is>
      </c>
      <c r="F239" s="7" t="inlineStr">
        <is>
          <t>P2</t>
        </is>
      </c>
      <c r="G239" s="7" t="inlineStr">
        <is>
          <t>Capital = 1000000.</t>
        </is>
      </c>
      <c r="H239" s="7" t="inlineStr">
        <is>
          <t>1000000</t>
        </is>
      </c>
      <c r="I239" s="7" t="inlineStr">
        <is>
          <t>Accepts; margin calc scales.</t>
        </is>
      </c>
      <c r="J239" s="7" t="inlineStr">
        <is>
          <t>— Not tested</t>
        </is>
      </c>
      <c r="K239" s="7" t="inlineStr">
        <is>
          <t>— Not tested</t>
        </is>
      </c>
      <c r="L239" s="7" t="inlineStr">
        <is>
          <t>— Not tested</t>
        </is>
      </c>
    </row>
    <row r="240">
      <c r="A240" s="8" t="n">
        <v>239</v>
      </c>
      <c r="B240" s="8" t="inlineStr">
        <is>
          <t>2 — Sessions</t>
        </is>
      </c>
      <c r="C240" s="8" t="n">
        <v>22</v>
      </c>
      <c r="D240" s="8" t="inlineStr">
        <is>
          <t>Add Session — Account &amp; Costs</t>
        </is>
      </c>
      <c r="E240" s="7" t="inlineStr">
        <is>
          <t>Input matrix</t>
        </is>
      </c>
      <c r="F240" s="7" t="inlineStr">
        <is>
          <t>P0</t>
        </is>
      </c>
      <c r="G240" s="7" t="inlineStr">
        <is>
          <t>Capital = 0.</t>
        </is>
      </c>
      <c r="H240" s="7" t="inlineStr">
        <is>
          <t>0</t>
        </is>
      </c>
      <c r="I240" s="7" t="inlineStr">
        <is>
          <t>Blocked or warning.</t>
        </is>
      </c>
      <c r="J240" s="7" t="inlineStr">
        <is>
          <t>— Not tested</t>
        </is>
      </c>
      <c r="K240" s="7" t="inlineStr">
        <is>
          <t>— Not tested</t>
        </is>
      </c>
      <c r="L240" s="7" t="inlineStr">
        <is>
          <t>— Not tested</t>
        </is>
      </c>
    </row>
    <row r="241">
      <c r="A241" s="8" t="n">
        <v>240</v>
      </c>
      <c r="B241" s="8" t="inlineStr">
        <is>
          <t>2 — Sessions</t>
        </is>
      </c>
      <c r="C241" s="8" t="n">
        <v>22</v>
      </c>
      <c r="D241" s="8" t="inlineStr">
        <is>
          <t>Add Session — Account &amp; Costs</t>
        </is>
      </c>
      <c r="E241" s="7" t="inlineStr">
        <is>
          <t>Input matrix</t>
        </is>
      </c>
      <c r="F241" s="7" t="inlineStr">
        <is>
          <t>P0</t>
        </is>
      </c>
      <c r="G241" s="7" t="inlineStr">
        <is>
          <t>Capital = negative.</t>
        </is>
      </c>
      <c r="H241" s="7" t="inlineStr">
        <is>
          <t>-1000</t>
        </is>
      </c>
      <c r="I241" s="7" t="inlineStr">
        <is>
          <t>Blocked.</t>
        </is>
      </c>
      <c r="J241" s="7" t="inlineStr">
        <is>
          <t>— Not tested</t>
        </is>
      </c>
      <c r="K241" s="7" t="inlineStr">
        <is>
          <t>— Not tested</t>
        </is>
      </c>
      <c r="L241" s="7" t="inlineStr">
        <is>
          <t>— Not tested</t>
        </is>
      </c>
    </row>
    <row r="242">
      <c r="A242" s="8" t="n">
        <v>241</v>
      </c>
      <c r="B242" s="8" t="inlineStr">
        <is>
          <t>2 — Sessions</t>
        </is>
      </c>
      <c r="C242" s="8" t="n">
        <v>22</v>
      </c>
      <c r="D242" s="8" t="inlineStr">
        <is>
          <t>Add Session — Account &amp; Costs</t>
        </is>
      </c>
      <c r="E242" s="7" t="inlineStr">
        <is>
          <t>Input matrix</t>
        </is>
      </c>
      <c r="F242" s="7" t="inlineStr">
        <is>
          <t>P1</t>
        </is>
      </c>
      <c r="G242" s="7" t="inlineStr">
        <is>
          <t>Capital = text abc.</t>
        </is>
      </c>
      <c r="H242" s="7" t="inlineStr">
        <is>
          <t>abc</t>
        </is>
      </c>
      <c r="I242" s="7" t="inlineStr">
        <is>
          <t>Rejected or ignored.</t>
        </is>
      </c>
      <c r="J242" s="7" t="inlineStr">
        <is>
          <t>— Not tested</t>
        </is>
      </c>
      <c r="K242" s="7" t="inlineStr">
        <is>
          <t>— Not tested</t>
        </is>
      </c>
      <c r="L242" s="7" t="inlineStr">
        <is>
          <t>— Not tested</t>
        </is>
      </c>
    </row>
    <row r="243">
      <c r="A243" s="8" t="n">
        <v>242</v>
      </c>
      <c r="B243" s="8" t="inlineStr">
        <is>
          <t>2 — Sessions</t>
        </is>
      </c>
      <c r="C243" s="8" t="n">
        <v>22</v>
      </c>
      <c r="D243" s="8" t="inlineStr">
        <is>
          <t>Add Session — Account &amp; Costs</t>
        </is>
      </c>
      <c r="E243" s="7" t="inlineStr">
        <is>
          <t>Input matrix</t>
        </is>
      </c>
      <c r="F243" s="7" t="inlineStr">
        <is>
          <t>P1</t>
        </is>
      </c>
      <c r="G243" s="7" t="inlineStr">
        <is>
          <t>Currency USD.</t>
        </is>
      </c>
      <c r="H243" s="7" t="inlineStr">
        <is>
          <t>USD</t>
        </is>
      </c>
      <c r="I243" s="7" t="inlineStr">
        <is>
          <t>Flag/icon USD.</t>
        </is>
      </c>
      <c r="J243" s="7" t="inlineStr">
        <is>
          <t>— Not tested</t>
        </is>
      </c>
      <c r="K243" s="7" t="inlineStr">
        <is>
          <t>— Not tested</t>
        </is>
      </c>
      <c r="L243" s="7" t="inlineStr">
        <is>
          <t>— Not tested</t>
        </is>
      </c>
    </row>
    <row r="244">
      <c r="A244" s="8" t="n">
        <v>243</v>
      </c>
      <c r="B244" s="8" t="inlineStr">
        <is>
          <t>2 — Sessions</t>
        </is>
      </c>
      <c r="C244" s="8" t="n">
        <v>22</v>
      </c>
      <c r="D244" s="8" t="inlineStr">
        <is>
          <t>Add Session — Account &amp; Costs</t>
        </is>
      </c>
      <c r="E244" s="7" t="inlineStr">
        <is>
          <t>Input matrix</t>
        </is>
      </c>
      <c r="F244" s="7" t="inlineStr">
        <is>
          <t>P2</t>
        </is>
      </c>
      <c r="G244" s="7" t="inlineStr">
        <is>
          <t>Currency EUR.</t>
        </is>
      </c>
      <c r="H244" s="7" t="inlineStr">
        <is>
          <t>EUR</t>
        </is>
      </c>
      <c r="I244" s="7" t="inlineStr">
        <is>
          <t>Changes currency symbol.</t>
        </is>
      </c>
      <c r="J244" s="7" t="inlineStr">
        <is>
          <t>— Not tested</t>
        </is>
      </c>
      <c r="K244" s="7" t="inlineStr">
        <is>
          <t>— Not tested</t>
        </is>
      </c>
      <c r="L244" s="7" t="inlineStr">
        <is>
          <t>— Not tested</t>
        </is>
      </c>
    </row>
    <row r="245">
      <c r="A245" s="8" t="n">
        <v>244</v>
      </c>
      <c r="B245" s="8" t="inlineStr">
        <is>
          <t>2 — Sessions</t>
        </is>
      </c>
      <c r="C245" s="8" t="n">
        <v>22</v>
      </c>
      <c r="D245" s="8" t="inlineStr">
        <is>
          <t>Add Session — Account &amp; Costs</t>
        </is>
      </c>
      <c r="E245" s="7" t="inlineStr">
        <is>
          <t>Input matrix</t>
        </is>
      </c>
      <c r="F245" s="7" t="inlineStr">
        <is>
          <t>P1</t>
        </is>
      </c>
      <c r="G245" s="7" t="inlineStr">
        <is>
          <t>Risk mode % ; value 1%.</t>
        </is>
      </c>
      <c r="H245" s="7" t="inlineStr">
        <is>
          <t>1%</t>
        </is>
      </c>
      <c r="I245" s="7" t="inlineStr">
        <is>
          <t>Risk per trade 1% of balance.</t>
        </is>
      </c>
      <c r="J245" s="7" t="inlineStr">
        <is>
          <t>— Not tested</t>
        </is>
      </c>
      <c r="K245" s="7" t="inlineStr">
        <is>
          <t>— Not tested</t>
        </is>
      </c>
      <c r="L245" s="7" t="inlineStr">
        <is>
          <t>— Not tested</t>
        </is>
      </c>
    </row>
    <row r="246">
      <c r="A246" s="8" t="n">
        <v>245</v>
      </c>
      <c r="B246" s="8" t="inlineStr">
        <is>
          <t>2 — Sessions</t>
        </is>
      </c>
      <c r="C246" s="8" t="n">
        <v>22</v>
      </c>
      <c r="D246" s="8" t="inlineStr">
        <is>
          <t>Add Session — Account &amp; Costs</t>
        </is>
      </c>
      <c r="E246" s="7" t="inlineStr">
        <is>
          <t>Input matrix</t>
        </is>
      </c>
      <c r="F246" s="7" t="inlineStr">
        <is>
          <t>P2</t>
        </is>
      </c>
      <c r="G246" s="7" t="inlineStr">
        <is>
          <t>Risk mode % ; value 100%.</t>
        </is>
      </c>
      <c r="H246" s="7" t="inlineStr">
        <is>
          <t>100%</t>
        </is>
      </c>
      <c r="I246" s="7" t="inlineStr">
        <is>
          <t>Extreme risk — accepts or caps.</t>
        </is>
      </c>
      <c r="J246" s="7" t="inlineStr">
        <is>
          <t>— Not tested</t>
        </is>
      </c>
      <c r="K246" s="7" t="inlineStr">
        <is>
          <t>— Not tested</t>
        </is>
      </c>
      <c r="L246" s="7" t="inlineStr">
        <is>
          <t>— Not tested</t>
        </is>
      </c>
    </row>
    <row r="247">
      <c r="A247" s="8" t="n">
        <v>246</v>
      </c>
      <c r="B247" s="8" t="inlineStr">
        <is>
          <t>2 — Sessions</t>
        </is>
      </c>
      <c r="C247" s="8" t="n">
        <v>22</v>
      </c>
      <c r="D247" s="8" t="inlineStr">
        <is>
          <t>Add Session — Account &amp; Costs</t>
        </is>
      </c>
      <c r="E247" s="7" t="inlineStr">
        <is>
          <t>Input matrix</t>
        </is>
      </c>
      <c r="F247" s="7" t="inlineStr">
        <is>
          <t>P1</t>
        </is>
      </c>
      <c r="G247" s="7" t="inlineStr">
        <is>
          <t>Risk mode fixed $ ; value 500.</t>
        </is>
      </c>
      <c r="H247" s="7" t="inlineStr">
        <is>
          <t>$500</t>
        </is>
      </c>
      <c r="I247" s="7" t="inlineStr">
        <is>
          <t>Fixed dollar risk.</t>
        </is>
      </c>
      <c r="J247" s="7" t="inlineStr">
        <is>
          <t>— Not tested</t>
        </is>
      </c>
      <c r="K247" s="7" t="inlineStr">
        <is>
          <t>— Not tested</t>
        </is>
      </c>
      <c r="L247" s="7" t="inlineStr">
        <is>
          <t>— Not tested</t>
        </is>
      </c>
    </row>
    <row r="248">
      <c r="A248" s="8" t="n">
        <v>247</v>
      </c>
      <c r="B248" s="8" t="inlineStr">
        <is>
          <t>2 — Sessions</t>
        </is>
      </c>
      <c r="C248" s="8" t="n">
        <v>22</v>
      </c>
      <c r="D248" s="8" t="inlineStr">
        <is>
          <t>Add Session — Account &amp; Costs</t>
        </is>
      </c>
      <c r="E248" s="7" t="inlineStr">
        <is>
          <t>Input matrix</t>
        </is>
      </c>
      <c r="F248" s="7" t="inlineStr">
        <is>
          <t>P1</t>
        </is>
      </c>
      <c r="G248" s="7" t="inlineStr">
        <is>
          <t>Leverage 1:1.</t>
        </is>
      </c>
      <c r="H248" s="7" t="inlineStr">
        <is>
          <t>1:1</t>
        </is>
      </c>
      <c r="I248" s="7" t="inlineStr">
        <is>
          <t>No leverage.</t>
        </is>
      </c>
      <c r="J248" s="7" t="inlineStr">
        <is>
          <t>— Not tested</t>
        </is>
      </c>
      <c r="K248" s="7" t="inlineStr">
        <is>
          <t>— Not tested</t>
        </is>
      </c>
      <c r="L248" s="7" t="inlineStr">
        <is>
          <t>— Not tested</t>
        </is>
      </c>
    </row>
    <row r="249">
      <c r="A249" s="8" t="n">
        <v>248</v>
      </c>
      <c r="B249" s="8" t="inlineStr">
        <is>
          <t>2 — Sessions</t>
        </is>
      </c>
      <c r="C249" s="8" t="n">
        <v>22</v>
      </c>
      <c r="D249" s="8" t="inlineStr">
        <is>
          <t>Add Session — Account &amp; Costs</t>
        </is>
      </c>
      <c r="E249" s="7" t="inlineStr">
        <is>
          <t>Input matrix</t>
        </is>
      </c>
      <c r="F249" s="7" t="inlineStr">
        <is>
          <t>P2</t>
        </is>
      </c>
      <c r="G249" s="7" t="inlineStr">
        <is>
          <t>Leverage 1:500.</t>
        </is>
      </c>
      <c r="H249" s="7" t="inlineStr">
        <is>
          <t>1:500</t>
        </is>
      </c>
      <c r="I249" s="7" t="inlineStr">
        <is>
          <t>Max leverage.</t>
        </is>
      </c>
      <c r="J249" s="7" t="inlineStr">
        <is>
          <t>— Not tested</t>
        </is>
      </c>
      <c r="K249" s="7" t="inlineStr">
        <is>
          <t>— Not tested</t>
        </is>
      </c>
      <c r="L249" s="7" t="inlineStr">
        <is>
          <t>— Not tested</t>
        </is>
      </c>
    </row>
    <row r="250">
      <c r="A250" s="8" t="n">
        <v>249</v>
      </c>
      <c r="B250" s="8" t="inlineStr">
        <is>
          <t>2 — Sessions</t>
        </is>
      </c>
      <c r="C250" s="8" t="n">
        <v>22</v>
      </c>
      <c r="D250" s="8" t="inlineStr">
        <is>
          <t>Add Session — Account &amp; Costs</t>
        </is>
      </c>
      <c r="E250" s="7" t="inlineStr">
        <is>
          <t>Input matrix</t>
        </is>
      </c>
      <c r="F250" s="7" t="inlineStr">
        <is>
          <t>P1</t>
        </is>
      </c>
      <c r="G250" s="7" t="inlineStr">
        <is>
          <t>Commission none.</t>
        </is>
      </c>
      <c r="H250" s="7" t="inlineStr">
        <is>
          <t>none</t>
        </is>
      </c>
      <c r="I250" s="7" t="inlineStr">
        <is>
          <t>Zero commission.</t>
        </is>
      </c>
      <c r="J250" s="7" t="inlineStr">
        <is>
          <t>— Not tested</t>
        </is>
      </c>
      <c r="K250" s="7" t="inlineStr">
        <is>
          <t>— Not tested</t>
        </is>
      </c>
      <c r="L250" s="7" t="inlineStr">
        <is>
          <t>— Not tested</t>
        </is>
      </c>
    </row>
    <row r="251">
      <c r="A251" s="8" t="n">
        <v>250</v>
      </c>
      <c r="B251" s="8" t="inlineStr">
        <is>
          <t>2 — Sessions</t>
        </is>
      </c>
      <c r="C251" s="8" t="n">
        <v>22</v>
      </c>
      <c r="D251" s="8" t="inlineStr">
        <is>
          <t>Add Session — Account &amp; Costs</t>
        </is>
      </c>
      <c r="E251" s="7" t="inlineStr">
        <is>
          <t>Input matrix</t>
        </is>
      </c>
      <c r="F251" s="7" t="inlineStr">
        <is>
          <t>P1</t>
        </is>
      </c>
      <c r="G251" s="7" t="inlineStr">
        <is>
          <t>Commission per lot $3.50.</t>
        </is>
      </c>
      <c r="H251" s="7" t="inlineStr">
        <is>
          <t>3.50</t>
        </is>
      </c>
      <c r="I251" s="7" t="inlineStr">
        <is>
          <t>Applied on trades.</t>
        </is>
      </c>
      <c r="J251" s="7" t="inlineStr">
        <is>
          <t>— Not tested</t>
        </is>
      </c>
      <c r="K251" s="7" t="inlineStr">
        <is>
          <t>— Not tested</t>
        </is>
      </c>
      <c r="L251" s="7" t="inlineStr">
        <is>
          <t>— Not tested</t>
        </is>
      </c>
    </row>
    <row r="252">
      <c r="A252" s="8" t="n">
        <v>251</v>
      </c>
      <c r="B252" s="8" t="inlineStr">
        <is>
          <t>2 — Sessions</t>
        </is>
      </c>
      <c r="C252" s="8" t="n">
        <v>22</v>
      </c>
      <c r="D252" s="8" t="inlineStr">
        <is>
          <t>Add Session — Account &amp; Costs</t>
        </is>
      </c>
      <c r="E252" s="7" t="inlineStr">
        <is>
          <t>Input matrix</t>
        </is>
      </c>
      <c r="F252" s="7" t="inlineStr">
        <is>
          <t>P2</t>
        </is>
      </c>
      <c r="G252" s="7" t="inlineStr">
        <is>
          <t>Slippage 0.</t>
        </is>
      </c>
      <c r="H252" s="7" t="inlineStr">
        <is>
          <t>0</t>
        </is>
      </c>
      <c r="I252" s="7" t="inlineStr">
        <is>
          <t>No slippage.</t>
        </is>
      </c>
      <c r="J252" s="7" t="inlineStr">
        <is>
          <t>— Not tested</t>
        </is>
      </c>
      <c r="K252" s="7" t="inlineStr">
        <is>
          <t>— Not tested</t>
        </is>
      </c>
      <c r="L252" s="7" t="inlineStr">
        <is>
          <t>— Not tested</t>
        </is>
      </c>
    </row>
    <row r="253">
      <c r="A253" s="8" t="n">
        <v>252</v>
      </c>
      <c r="B253" s="8" t="inlineStr">
        <is>
          <t>2 — Sessions</t>
        </is>
      </c>
      <c r="C253" s="8" t="n">
        <v>22</v>
      </c>
      <c r="D253" s="8" t="inlineStr">
        <is>
          <t>Add Session — Account &amp; Costs</t>
        </is>
      </c>
      <c r="E253" s="7" t="inlineStr">
        <is>
          <t>Input matrix</t>
        </is>
      </c>
      <c r="F253" s="7" t="inlineStr">
        <is>
          <t>P2</t>
        </is>
      </c>
      <c r="G253" s="7" t="inlineStr">
        <is>
          <t>Slippage 10 ticks.</t>
        </is>
      </c>
      <c r="H253" s="7" t="inlineStr">
        <is>
          <t>10</t>
        </is>
      </c>
      <c r="I253" s="7" t="inlineStr">
        <is>
          <t>Wide slippage.</t>
        </is>
      </c>
      <c r="J253" s="7" t="inlineStr">
        <is>
          <t>— Not tested</t>
        </is>
      </c>
      <c r="K253" s="7" t="inlineStr">
        <is>
          <t>— Not tested</t>
        </is>
      </c>
      <c r="L253" s="7" t="inlineStr">
        <is>
          <t>— Not tested</t>
        </is>
      </c>
    </row>
    <row r="254">
      <c r="A254" s="8" t="n">
        <v>253</v>
      </c>
      <c r="B254" s="8" t="inlineStr">
        <is>
          <t>2 — Sessions</t>
        </is>
      </c>
      <c r="C254" s="8" t="n">
        <v>22</v>
      </c>
      <c r="D254" s="8" t="inlineStr">
        <is>
          <t>Add Session — Account &amp; Costs</t>
        </is>
      </c>
      <c r="E254" s="7" t="inlineStr">
        <is>
          <t>Configuration</t>
        </is>
      </c>
      <c r="F254" s="7" t="inlineStr">
        <is>
          <t>P1</t>
        </is>
      </c>
      <c r="G254" s="7" t="inlineStr">
        <is>
          <t>Enable Trading Costs overrides.</t>
        </is>
      </c>
      <c r="H254" s="7" t="inlineStr">
        <is>
          <t>—</t>
        </is>
      </c>
      <c r="I254" s="7" t="inlineStr">
        <is>
          <t>Per-asset-class commission/leverage fields appear.</t>
        </is>
      </c>
      <c r="J254" s="7" t="inlineStr">
        <is>
          <t>— Not tested</t>
        </is>
      </c>
      <c r="K254" s="7" t="inlineStr">
        <is>
          <t>— Not tested</t>
        </is>
      </c>
      <c r="L254" s="7" t="inlineStr">
        <is>
          <t>— Not tested</t>
        </is>
      </c>
    </row>
    <row r="255">
      <c r="A255" s="8" t="n">
        <v>254</v>
      </c>
      <c r="B255" s="8" t="inlineStr">
        <is>
          <t>2 — Sessions</t>
        </is>
      </c>
      <c r="C255" s="8" t="n">
        <v>22</v>
      </c>
      <c r="D255" s="8" t="inlineStr">
        <is>
          <t>Add Session — Account &amp; Costs</t>
        </is>
      </c>
      <c r="E255" s="7" t="inlineStr">
        <is>
          <t>Configuration</t>
        </is>
      </c>
      <c r="F255" s="7" t="inlineStr">
        <is>
          <t>P2</t>
        </is>
      </c>
      <c r="G255" s="7" t="inlineStr">
        <is>
          <t>Set Forex costs commission 7.00 leverage 1:500.</t>
        </is>
      </c>
      <c r="H255" s="7" t="inlineStr">
        <is>
          <t>—</t>
        </is>
      </c>
      <c r="I255" s="7" t="inlineStr">
        <is>
          <t>Overrides default.</t>
        </is>
      </c>
      <c r="J255" s="7" t="inlineStr">
        <is>
          <t>— Not tested</t>
        </is>
      </c>
      <c r="K255" s="7" t="inlineStr">
        <is>
          <t>— Not tested</t>
        </is>
      </c>
      <c r="L255" s="7" t="inlineStr">
        <is>
          <t>— Not tested</t>
        </is>
      </c>
    </row>
    <row r="256">
      <c r="A256" s="8" t="n">
        <v>255</v>
      </c>
      <c r="B256" s="8" t="inlineStr">
        <is>
          <t>2 — Sessions</t>
        </is>
      </c>
      <c r="C256" s="8" t="n">
        <v>22</v>
      </c>
      <c r="D256" s="8" t="inlineStr">
        <is>
          <t>Add Session — Account &amp; Costs</t>
        </is>
      </c>
      <c r="E256" s="7" t="inlineStr">
        <is>
          <t>Configuration</t>
        </is>
      </c>
      <c r="F256" s="7" t="inlineStr">
        <is>
          <t>P2</t>
        </is>
      </c>
      <c r="G256" s="7" t="inlineStr">
        <is>
          <t>Set per-symbol spread for EURUSD.</t>
        </is>
      </c>
      <c r="H256" s="7" t="inlineStr">
        <is>
          <t>1.5 pips</t>
        </is>
      </c>
      <c r="I256" s="7" t="inlineStr">
        <is>
          <t>Spread applied in session.</t>
        </is>
      </c>
      <c r="J256" s="7" t="inlineStr">
        <is>
          <t>— Not tested</t>
        </is>
      </c>
      <c r="K256" s="7" t="inlineStr">
        <is>
          <t>— Not tested</t>
        </is>
      </c>
      <c r="L256" s="7" t="inlineStr">
        <is>
          <t>— Not tested</t>
        </is>
      </c>
    </row>
    <row r="257">
      <c r="A257" s="8" t="n">
        <v>256</v>
      </c>
      <c r="B257" s="8" t="inlineStr">
        <is>
          <t>2 — Sessions</t>
        </is>
      </c>
      <c r="C257" s="8" t="n">
        <v>22</v>
      </c>
      <c r="D257" s="8" t="inlineStr">
        <is>
          <t>Add Session — Account &amp; Costs</t>
        </is>
      </c>
      <c r="E257" s="7" t="inlineStr">
        <is>
          <t>Configuration</t>
        </is>
      </c>
      <c r="F257" s="7" t="inlineStr">
        <is>
          <t>P1</t>
        </is>
      </c>
      <c r="G257" s="7" t="inlineStr">
        <is>
          <t>Timezone America/New_York + DST on.</t>
        </is>
      </c>
      <c r="H257" s="7" t="inlineStr">
        <is>
          <t>—</t>
        </is>
      </c>
      <c r="I257" s="7" t="inlineStr">
        <is>
          <t>Chart times in NY.</t>
        </is>
      </c>
      <c r="J257" s="7" t="inlineStr">
        <is>
          <t>— Not tested</t>
        </is>
      </c>
      <c r="K257" s="7" t="inlineStr">
        <is>
          <t>— Not tested</t>
        </is>
      </c>
      <c r="L257" s="7" t="inlineStr">
        <is>
          <t>— Not tested</t>
        </is>
      </c>
    </row>
    <row r="258">
      <c r="A258" s="8" t="n">
        <v>257</v>
      </c>
      <c r="B258" s="8" t="inlineStr">
        <is>
          <t>2 — Sessions</t>
        </is>
      </c>
      <c r="C258" s="8" t="n">
        <v>22</v>
      </c>
      <c r="D258" s="8" t="inlineStr">
        <is>
          <t>Add Session — Account &amp; Costs</t>
        </is>
      </c>
      <c r="E258" s="7" t="inlineStr">
        <is>
          <t>Configuration</t>
        </is>
      </c>
      <c r="F258" s="7" t="inlineStr">
        <is>
          <t>P2</t>
        </is>
      </c>
      <c r="G258" s="7" t="inlineStr">
        <is>
          <t>Timezone UTC + DST off.</t>
        </is>
      </c>
      <c r="H258" s="7" t="inlineStr">
        <is>
          <t>—</t>
        </is>
      </c>
      <c r="I258" s="7" t="inlineStr">
        <is>
          <t>Times in UTC.</t>
        </is>
      </c>
      <c r="J258" s="7" t="inlineStr">
        <is>
          <t>— Not tested</t>
        </is>
      </c>
      <c r="K258" s="7" t="inlineStr">
        <is>
          <t>— Not tested</t>
        </is>
      </c>
      <c r="L258" s="7" t="inlineStr">
        <is>
          <t>— Not tested</t>
        </is>
      </c>
    </row>
    <row r="259">
      <c r="A259" s="8" t="n">
        <v>258</v>
      </c>
      <c r="B259" s="8" t="inlineStr">
        <is>
          <t>2 — Sessions</t>
        </is>
      </c>
      <c r="C259" s="8" t="n">
        <v>22</v>
      </c>
      <c r="D259" s="8" t="inlineStr">
        <is>
          <t>Add Session — Account &amp; Costs</t>
        </is>
      </c>
      <c r="E259" s="7" t="inlineStr">
        <is>
          <t>Configuration</t>
        </is>
      </c>
      <c r="F259" s="7" t="inlineStr">
        <is>
          <t>P2</t>
        </is>
      </c>
      <c r="G259" s="7" t="inlineStr">
        <is>
          <t>Margin call 100% / Stop out 50%.</t>
        </is>
      </c>
      <c r="H259" s="7" t="inlineStr">
        <is>
          <t>defaults</t>
        </is>
      </c>
      <c r="I259" s="7" t="inlineStr">
        <is>
          <t>Liquidation rules apply in chart.</t>
        </is>
      </c>
      <c r="J259" s="7" t="inlineStr">
        <is>
          <t>— Not tested</t>
        </is>
      </c>
      <c r="K259" s="7" t="inlineStr">
        <is>
          <t>— Not tested</t>
        </is>
      </c>
      <c r="L259" s="7" t="inlineStr">
        <is>
          <t>— Not tested</t>
        </is>
      </c>
    </row>
    <row r="260">
      <c r="A260" s="8" t="n">
        <v>259</v>
      </c>
      <c r="B260" s="8" t="inlineStr">
        <is>
          <t>2 — Sessions</t>
        </is>
      </c>
      <c r="C260" s="8" t="n">
        <v>22</v>
      </c>
      <c r="D260" s="8" t="inlineStr">
        <is>
          <t>Add Session — Account &amp; Costs</t>
        </is>
      </c>
      <c r="E260" s="7" t="inlineStr">
        <is>
          <t>Configuration</t>
        </is>
      </c>
      <c r="F260" s="7" t="inlineStr">
        <is>
          <t>P2</t>
        </is>
      </c>
      <c r="G260" s="7" t="inlineStr">
        <is>
          <t>Link data file from picker.</t>
        </is>
      </c>
      <c r="H260" s="7" t="inlineStr">
        <is>
          <t>CSV file</t>
        </is>
      </c>
      <c r="I260" s="7" t="inlineStr">
        <is>
          <t>File attached to session.</t>
        </is>
      </c>
      <c r="J260" s="7" t="inlineStr">
        <is>
          <t>— Not tested</t>
        </is>
      </c>
      <c r="K260" s="7" t="inlineStr">
        <is>
          <t>— Not tested</t>
        </is>
      </c>
      <c r="L260" s="7" t="inlineStr">
        <is>
          <t>— Not tested</t>
        </is>
      </c>
    </row>
    <row r="261">
      <c r="A261" s="8" t="n">
        <v>260</v>
      </c>
      <c r="B261" s="8" t="inlineStr">
        <is>
          <t>2 — Sessions</t>
        </is>
      </c>
      <c r="C261" s="8" t="n">
        <v>23</v>
      </c>
      <c r="D261" s="8" t="inlineStr">
        <is>
          <t>Add Session — Prop Firm Mode</t>
        </is>
      </c>
      <c r="E261" s="7" t="inlineStr">
        <is>
          <t>Configuration</t>
        </is>
      </c>
      <c r="F261" s="7" t="inlineStr">
        <is>
          <t>P0</t>
        </is>
      </c>
      <c r="G261" s="7" t="inlineStr">
        <is>
          <t>Switch to Prop Firm mode.</t>
        </is>
      </c>
      <c r="H261" s="7" t="inlineStr">
        <is>
          <t>—</t>
        </is>
      </c>
      <c r="I261" s="7" t="inlineStr">
        <is>
          <t>Prop section expands; Standard fields remain.</t>
        </is>
      </c>
      <c r="J261" s="7" t="inlineStr">
        <is>
          <t>— Not tested</t>
        </is>
      </c>
      <c r="K261" s="7" t="inlineStr">
        <is>
          <t>— Not tested</t>
        </is>
      </c>
      <c r="L261" s="7" t="inlineStr">
        <is>
          <t>— Not tested</t>
        </is>
      </c>
    </row>
    <row r="262">
      <c r="A262" s="8" t="n">
        <v>261</v>
      </c>
      <c r="B262" s="8" t="inlineStr">
        <is>
          <t>2 — Sessions</t>
        </is>
      </c>
      <c r="C262" s="8" t="n">
        <v>23</v>
      </c>
      <c r="D262" s="8" t="inlineStr">
        <is>
          <t>Add Session — Prop Firm Mode</t>
        </is>
      </c>
      <c r="E262" s="7" t="inlineStr">
        <is>
          <t>Configuration</t>
        </is>
      </c>
      <c r="F262" s="7" t="inlineStr">
        <is>
          <t>P1</t>
        </is>
      </c>
      <c r="G262" s="7" t="inlineStr">
        <is>
          <t>Prop on Futures asset class.</t>
        </is>
      </c>
      <c r="H262" s="7" t="inlineStr">
        <is>
          <t>Futures</t>
        </is>
      </c>
      <c r="I262" s="7" t="inlineStr">
        <is>
          <t>Prop tab may be disabled — verify.</t>
        </is>
      </c>
      <c r="J262" s="7" t="inlineStr">
        <is>
          <t>— Not tested</t>
        </is>
      </c>
      <c r="K262" s="7" t="inlineStr">
        <is>
          <t>— Not tested</t>
        </is>
      </c>
      <c r="L262" s="7" t="inlineStr">
        <is>
          <t>— Not tested</t>
        </is>
      </c>
    </row>
    <row r="263">
      <c r="A263" s="8" t="n">
        <v>262</v>
      </c>
      <c r="B263" s="8" t="inlineStr">
        <is>
          <t>2 — Sessions</t>
        </is>
      </c>
      <c r="C263" s="8" t="n">
        <v>23</v>
      </c>
      <c r="D263" s="8" t="inlineStr">
        <is>
          <t>Add Session — Prop Firm Mode</t>
        </is>
      </c>
      <c r="E263" s="7" t="inlineStr">
        <is>
          <t>Configuration</t>
        </is>
      </c>
      <c r="F263" s="7" t="inlineStr">
        <is>
          <t>P1</t>
        </is>
      </c>
      <c r="G263" s="7" t="inlineStr">
        <is>
          <t>Firm preset FTMO.</t>
        </is>
      </c>
      <c r="H263" s="7" t="inlineStr">
        <is>
          <t>FTMO</t>
        </is>
      </c>
      <c r="I263" s="7" t="inlineStr">
        <is>
          <t>Default rules populate.</t>
        </is>
      </c>
      <c r="J263" s="7" t="inlineStr">
        <is>
          <t>— Not tested</t>
        </is>
      </c>
      <c r="K263" s="7" t="inlineStr">
        <is>
          <t>— Not tested</t>
        </is>
      </c>
      <c r="L263" s="7" t="inlineStr">
        <is>
          <t>— Not tested</t>
        </is>
      </c>
    </row>
    <row r="264">
      <c r="A264" s="8" t="n">
        <v>263</v>
      </c>
      <c r="B264" s="8" t="inlineStr">
        <is>
          <t>2 — Sessions</t>
        </is>
      </c>
      <c r="C264" s="8" t="n">
        <v>23</v>
      </c>
      <c r="D264" s="8" t="inlineStr">
        <is>
          <t>Add Session — Prop Firm Mode</t>
        </is>
      </c>
      <c r="E264" s="7" t="inlineStr">
        <is>
          <t>Configuration</t>
        </is>
      </c>
      <c r="F264" s="7" t="inlineStr">
        <is>
          <t>P1</t>
        </is>
      </c>
      <c r="G264" s="7" t="inlineStr">
        <is>
          <t>Challenge type Evaluation.</t>
        </is>
      </c>
      <c r="H264" s="7" t="inlineStr">
        <is>
          <t>—</t>
        </is>
      </c>
      <c r="I264" s="7" t="inlineStr">
        <is>
          <t>Phase fields shown.</t>
        </is>
      </c>
      <c r="J264" s="7" t="inlineStr">
        <is>
          <t>— Not tested</t>
        </is>
      </c>
      <c r="K264" s="7" t="inlineStr">
        <is>
          <t>— Not tested</t>
        </is>
      </c>
      <c r="L264" s="7" t="inlineStr">
        <is>
          <t>— Not tested</t>
        </is>
      </c>
    </row>
    <row r="265">
      <c r="A265" s="8" t="n">
        <v>264</v>
      </c>
      <c r="B265" s="8" t="inlineStr">
        <is>
          <t>2 — Sessions</t>
        </is>
      </c>
      <c r="C265" s="8" t="n">
        <v>23</v>
      </c>
      <c r="D265" s="8" t="inlineStr">
        <is>
          <t>Add Session — Prop Firm Mode</t>
        </is>
      </c>
      <c r="E265" s="7" t="inlineStr">
        <is>
          <t>Configuration</t>
        </is>
      </c>
      <c r="F265" s="7" t="inlineStr">
        <is>
          <t>P1</t>
        </is>
      </c>
      <c r="G265" s="7" t="inlineStr">
        <is>
          <t>Num phases = 1.</t>
        </is>
      </c>
      <c r="H265" s="7" t="inlineStr">
        <is>
          <t>1</t>
        </is>
      </c>
      <c r="I265" s="7" t="inlineStr">
        <is>
          <t>Only Phase 1 fields.</t>
        </is>
      </c>
      <c r="J265" s="7" t="inlineStr">
        <is>
          <t>— Not tested</t>
        </is>
      </c>
      <c r="K265" s="7" t="inlineStr">
        <is>
          <t>— Not tested</t>
        </is>
      </c>
      <c r="L265" s="7" t="inlineStr">
        <is>
          <t>— Not tested</t>
        </is>
      </c>
    </row>
    <row r="266">
      <c r="A266" s="8" t="n">
        <v>265</v>
      </c>
      <c r="B266" s="8" t="inlineStr">
        <is>
          <t>2 — Sessions</t>
        </is>
      </c>
      <c r="C266" s="8" t="n">
        <v>23</v>
      </c>
      <c r="D266" s="8" t="inlineStr">
        <is>
          <t>Add Session — Prop Firm Mode</t>
        </is>
      </c>
      <c r="E266" s="7" t="inlineStr">
        <is>
          <t>Configuration</t>
        </is>
      </c>
      <c r="F266" s="7" t="inlineStr">
        <is>
          <t>P1</t>
        </is>
      </c>
      <c r="G266" s="7" t="inlineStr">
        <is>
          <t>Num phases = 2.</t>
        </is>
      </c>
      <c r="H266" s="7" t="inlineStr">
        <is>
          <t>2</t>
        </is>
      </c>
      <c r="I266" s="7" t="inlineStr">
        <is>
          <t>Phase 2 fields appear.</t>
        </is>
      </c>
      <c r="J266" s="7" t="inlineStr">
        <is>
          <t>— Not tested</t>
        </is>
      </c>
      <c r="K266" s="7" t="inlineStr">
        <is>
          <t>— Not tested</t>
        </is>
      </c>
      <c r="L266" s="7" t="inlineStr">
        <is>
          <t>— Not tested</t>
        </is>
      </c>
    </row>
    <row r="267">
      <c r="A267" s="8" t="n">
        <v>266</v>
      </c>
      <c r="B267" s="8" t="inlineStr">
        <is>
          <t>2 — Sessions</t>
        </is>
      </c>
      <c r="C267" s="8" t="n">
        <v>23</v>
      </c>
      <c r="D267" s="8" t="inlineStr">
        <is>
          <t>Add Session — Prop Firm Mode</t>
        </is>
      </c>
      <c r="E267" s="7" t="inlineStr">
        <is>
          <t>Configuration</t>
        </is>
      </c>
      <c r="F267" s="7" t="inlineStr">
        <is>
          <t>P1</t>
        </is>
      </c>
      <c r="G267" s="7" t="inlineStr">
        <is>
          <t>Phase 1 daily loss 5%.</t>
        </is>
      </c>
      <c r="H267" s="7" t="inlineStr">
        <is>
          <t>5</t>
        </is>
      </c>
      <c r="I267" s="7" t="inlineStr">
        <is>
          <t>Saves.</t>
        </is>
      </c>
      <c r="J267" s="7" t="inlineStr">
        <is>
          <t>— Not tested</t>
        </is>
      </c>
      <c r="K267" s="7" t="inlineStr">
        <is>
          <t>— Not tested</t>
        </is>
      </c>
      <c r="L267" s="7" t="inlineStr">
        <is>
          <t>— Not tested</t>
        </is>
      </c>
    </row>
    <row r="268">
      <c r="A268" s="8" t="n">
        <v>267</v>
      </c>
      <c r="B268" s="8" t="inlineStr">
        <is>
          <t>2 — Sessions</t>
        </is>
      </c>
      <c r="C268" s="8" t="n">
        <v>23</v>
      </c>
      <c r="D268" s="8" t="inlineStr">
        <is>
          <t>Add Session — Prop Firm Mode</t>
        </is>
      </c>
      <c r="E268" s="7" t="inlineStr">
        <is>
          <t>Configuration</t>
        </is>
      </c>
      <c r="F268" s="7" t="inlineStr">
        <is>
          <t>P1</t>
        </is>
      </c>
      <c r="G268" s="7" t="inlineStr">
        <is>
          <t>Phase 1 max DD 10%.</t>
        </is>
      </c>
      <c r="H268" s="7" t="inlineStr">
        <is>
          <t>10</t>
        </is>
      </c>
      <c r="I268" s="7" t="inlineStr">
        <is>
          <t>Saves.</t>
        </is>
      </c>
      <c r="J268" s="7" t="inlineStr">
        <is>
          <t>— Not tested</t>
        </is>
      </c>
      <c r="K268" s="7" t="inlineStr">
        <is>
          <t>— Not tested</t>
        </is>
      </c>
      <c r="L268" s="7" t="inlineStr">
        <is>
          <t>— Not tested</t>
        </is>
      </c>
    </row>
    <row r="269">
      <c r="A269" s="8" t="n">
        <v>268</v>
      </c>
      <c r="B269" s="8" t="inlineStr">
        <is>
          <t>2 — Sessions</t>
        </is>
      </c>
      <c r="C269" s="8" t="n">
        <v>23</v>
      </c>
      <c r="D269" s="8" t="inlineStr">
        <is>
          <t>Add Session — Prop Firm Mode</t>
        </is>
      </c>
      <c r="E269" s="7" t="inlineStr">
        <is>
          <t>Configuration</t>
        </is>
      </c>
      <c r="F269" s="7" t="inlineStr">
        <is>
          <t>P1</t>
        </is>
      </c>
      <c r="G269" s="7" t="inlineStr">
        <is>
          <t>Phase 1 profit target 10%.</t>
        </is>
      </c>
      <c r="H269" s="7" t="inlineStr">
        <is>
          <t>10</t>
        </is>
      </c>
      <c r="I269" s="7" t="inlineStr">
        <is>
          <t>Saves.</t>
        </is>
      </c>
      <c r="J269" s="7" t="inlineStr">
        <is>
          <t>— Not tested</t>
        </is>
      </c>
      <c r="K269" s="7" t="inlineStr">
        <is>
          <t>— Not tested</t>
        </is>
      </c>
      <c r="L269" s="7" t="inlineStr">
        <is>
          <t>— Not tested</t>
        </is>
      </c>
    </row>
    <row r="270">
      <c r="A270" s="8" t="n">
        <v>269</v>
      </c>
      <c r="B270" s="8" t="inlineStr">
        <is>
          <t>2 — Sessions</t>
        </is>
      </c>
      <c r="C270" s="8" t="n">
        <v>23</v>
      </c>
      <c r="D270" s="8" t="inlineStr">
        <is>
          <t>Add Session — Prop Firm Mode</t>
        </is>
      </c>
      <c r="E270" s="7" t="inlineStr">
        <is>
          <t>Configuration</t>
        </is>
      </c>
      <c r="F270" s="7" t="inlineStr">
        <is>
          <t>P1</t>
        </is>
      </c>
      <c r="G270" s="7" t="inlineStr">
        <is>
          <t>Phase 1 min days ON, value 4.</t>
        </is>
      </c>
      <c r="H270" s="7" t="inlineStr">
        <is>
          <t>4</t>
        </is>
      </c>
      <c r="I270" s="7" t="inlineStr">
        <is>
          <t>Min trading days rule.</t>
        </is>
      </c>
      <c r="J270" s="7" t="inlineStr">
        <is>
          <t>— Not tested</t>
        </is>
      </c>
      <c r="K270" s="7" t="inlineStr">
        <is>
          <t>— Not tested</t>
        </is>
      </c>
      <c r="L270" s="7" t="inlineStr">
        <is>
          <t>— Not tested</t>
        </is>
      </c>
    </row>
    <row r="271">
      <c r="A271" s="8" t="n">
        <v>270</v>
      </c>
      <c r="B271" s="8" t="inlineStr">
        <is>
          <t>2 — Sessions</t>
        </is>
      </c>
      <c r="C271" s="8" t="n">
        <v>23</v>
      </c>
      <c r="D271" s="8" t="inlineStr">
        <is>
          <t>Add Session — Prop Firm Mode</t>
        </is>
      </c>
      <c r="E271" s="7" t="inlineStr">
        <is>
          <t>Configuration</t>
        </is>
      </c>
      <c r="F271" s="7" t="inlineStr">
        <is>
          <t>P2</t>
        </is>
      </c>
      <c r="G271" s="7" t="inlineStr">
        <is>
          <t>Phase 1 min days OFF.</t>
        </is>
      </c>
      <c r="H271" s="7" t="inlineStr">
        <is>
          <t>disabled</t>
        </is>
      </c>
      <c r="I271" s="7" t="inlineStr">
        <is>
          <t>Field grayed.</t>
        </is>
      </c>
      <c r="J271" s="7" t="inlineStr">
        <is>
          <t>— Not tested</t>
        </is>
      </c>
      <c r="K271" s="7" t="inlineStr">
        <is>
          <t>— Not tested</t>
        </is>
      </c>
      <c r="L271" s="7" t="inlineStr">
        <is>
          <t>— Not tested</t>
        </is>
      </c>
    </row>
    <row r="272">
      <c r="A272" s="8" t="n">
        <v>271</v>
      </c>
      <c r="B272" s="8" t="inlineStr">
        <is>
          <t>2 — Sessions</t>
        </is>
      </c>
      <c r="C272" s="8" t="n">
        <v>23</v>
      </c>
      <c r="D272" s="8" t="inlineStr">
        <is>
          <t>Add Session — Prop Firm Mode</t>
        </is>
      </c>
      <c r="E272" s="7" t="inlineStr">
        <is>
          <t>Configuration</t>
        </is>
      </c>
      <c r="F272" s="7" t="inlineStr">
        <is>
          <t>P2</t>
        </is>
      </c>
      <c r="G272" s="7" t="inlineStr">
        <is>
          <t>Phase 1 amounts $ mode: daily loss $1000.</t>
        </is>
      </c>
      <c r="H272" s="7" t="inlineStr">
        <is>
          <t>$1000</t>
        </is>
      </c>
      <c r="I272" s="7" t="inlineStr">
        <is>
          <t>Dollar-based rules.</t>
        </is>
      </c>
      <c r="J272" s="7" t="inlineStr">
        <is>
          <t>— Not tested</t>
        </is>
      </c>
      <c r="K272" s="7" t="inlineStr">
        <is>
          <t>— Not tested</t>
        </is>
      </c>
      <c r="L272" s="7" t="inlineStr">
        <is>
          <t>— Not tested</t>
        </is>
      </c>
    </row>
    <row r="273">
      <c r="A273" s="8" t="n">
        <v>272</v>
      </c>
      <c r="B273" s="8" t="inlineStr">
        <is>
          <t>2 — Sessions</t>
        </is>
      </c>
      <c r="C273" s="8" t="n">
        <v>23</v>
      </c>
      <c r="D273" s="8" t="inlineStr">
        <is>
          <t>Add Session — Prop Firm Mode</t>
        </is>
      </c>
      <c r="E273" s="7" t="inlineStr">
        <is>
          <t>Configuration</t>
        </is>
      </c>
      <c r="F273" s="7" t="inlineStr">
        <is>
          <t>P1</t>
        </is>
      </c>
      <c r="G273" s="7" t="inlineStr">
        <is>
          <t>Trailing drawdown ON.</t>
        </is>
      </c>
      <c r="H273" s="7" t="inlineStr">
        <is>
          <t>—</t>
        </is>
      </c>
      <c r="I273" s="7" t="inlineStr">
        <is>
          <t>Trailing DD active in chart.</t>
        </is>
      </c>
      <c r="J273" s="7" t="inlineStr">
        <is>
          <t>— Not tested</t>
        </is>
      </c>
      <c r="K273" s="7" t="inlineStr">
        <is>
          <t>— Not tested</t>
        </is>
      </c>
      <c r="L273" s="7" t="inlineStr">
        <is>
          <t>— Not tested</t>
        </is>
      </c>
    </row>
    <row r="274">
      <c r="A274" s="8" t="n">
        <v>273</v>
      </c>
      <c r="B274" s="8" t="inlineStr">
        <is>
          <t>2 — Sessions</t>
        </is>
      </c>
      <c r="C274" s="8" t="n">
        <v>23</v>
      </c>
      <c r="D274" s="8" t="inlineStr">
        <is>
          <t>Add Session — Prop Firm Mode</t>
        </is>
      </c>
      <c r="E274" s="7" t="inlineStr">
        <is>
          <t>Configuration</t>
        </is>
      </c>
      <c r="F274" s="7" t="inlineStr">
        <is>
          <t>P2</t>
        </is>
      </c>
      <c r="G274" s="7" t="inlineStr">
        <is>
          <t>Consistency rule ON, 30%.</t>
        </is>
      </c>
      <c r="H274" s="7" t="inlineStr">
        <is>
          <t>30%</t>
        </is>
      </c>
      <c r="I274" s="7" t="inlineStr">
        <is>
          <t>Consistency enforced.</t>
        </is>
      </c>
      <c r="J274" s="7" t="inlineStr">
        <is>
          <t>— Not tested</t>
        </is>
      </c>
      <c r="K274" s="7" t="inlineStr">
        <is>
          <t>— Not tested</t>
        </is>
      </c>
      <c r="L274" s="7" t="inlineStr">
        <is>
          <t>— Not tested</t>
        </is>
      </c>
    </row>
    <row r="275">
      <c r="A275" s="8" t="n">
        <v>274</v>
      </c>
      <c r="B275" s="8" t="inlineStr">
        <is>
          <t>2 — Sessions</t>
        </is>
      </c>
      <c r="C275" s="8" t="n">
        <v>23</v>
      </c>
      <c r="D275" s="8" t="inlineStr">
        <is>
          <t>Add Session — Prop Firm Mode</t>
        </is>
      </c>
      <c r="E275" s="7" t="inlineStr">
        <is>
          <t>Configuration</t>
        </is>
      </c>
      <c r="F275" s="7" t="inlineStr">
        <is>
          <t>P2</t>
        </is>
      </c>
      <c r="G275" s="7" t="inlineStr">
        <is>
          <t>Weekend holding ON.</t>
        </is>
      </c>
      <c r="H275" s="7" t="inlineStr">
        <is>
          <t>—</t>
        </is>
      </c>
      <c r="I275" s="7" t="inlineStr">
        <is>
          <t>Allows weekend positions.</t>
        </is>
      </c>
      <c r="J275" s="7" t="inlineStr">
        <is>
          <t>— Not tested</t>
        </is>
      </c>
      <c r="K275" s="7" t="inlineStr">
        <is>
          <t>— Not tested</t>
        </is>
      </c>
      <c r="L275" s="7" t="inlineStr">
        <is>
          <t>— Not tested</t>
        </is>
      </c>
    </row>
    <row r="276">
      <c r="A276" s="8" t="n">
        <v>275</v>
      </c>
      <c r="B276" s="8" t="inlineStr">
        <is>
          <t>2 — Sessions</t>
        </is>
      </c>
      <c r="C276" s="8" t="n">
        <v>23</v>
      </c>
      <c r="D276" s="8" t="inlineStr">
        <is>
          <t>Add Session — Prop Firm Mode</t>
        </is>
      </c>
      <c r="E276" s="7" t="inlineStr">
        <is>
          <t>Configuration</t>
        </is>
      </c>
      <c r="F276" s="7" t="inlineStr">
        <is>
          <t>P2</t>
        </is>
      </c>
      <c r="G276" s="7" t="inlineStr">
        <is>
          <t>Max contracts ON, value 5.</t>
        </is>
      </c>
      <c r="H276" s="7" t="inlineStr">
        <is>
          <t>5</t>
        </is>
      </c>
      <c r="I276" s="7" t="inlineStr">
        <is>
          <t>Caps position size.</t>
        </is>
      </c>
      <c r="J276" s="7" t="inlineStr">
        <is>
          <t>— Not tested</t>
        </is>
      </c>
      <c r="K276" s="7" t="inlineStr">
        <is>
          <t>— Not tested</t>
        </is>
      </c>
      <c r="L276" s="7" t="inlineStr">
        <is>
          <t>— Not tested</t>
        </is>
      </c>
    </row>
    <row r="277">
      <c r="A277" s="8" t="n">
        <v>276</v>
      </c>
      <c r="B277" s="8" t="inlineStr">
        <is>
          <t>2 — Sessions</t>
        </is>
      </c>
      <c r="C277" s="8" t="n">
        <v>23</v>
      </c>
      <c r="D277" s="8" t="inlineStr">
        <is>
          <t>Add Session — Prop Firm Mode</t>
        </is>
      </c>
      <c r="E277" s="7" t="inlineStr">
        <is>
          <t>Configuration</t>
        </is>
      </c>
      <c r="F277" s="7" t="inlineStr">
        <is>
          <t>P2</t>
        </is>
      </c>
      <c r="G277" s="7" t="inlineStr">
        <is>
          <t>Max lots ON with unit lots.</t>
        </is>
      </c>
      <c r="H277" s="7" t="inlineStr">
        <is>
          <t>lots</t>
        </is>
      </c>
      <c r="I277" s="7" t="inlineStr">
        <is>
          <t>Forex lot cap.</t>
        </is>
      </c>
      <c r="J277" s="7" t="inlineStr">
        <is>
          <t>— Not tested</t>
        </is>
      </c>
      <c r="K277" s="7" t="inlineStr">
        <is>
          <t>— Not tested</t>
        </is>
      </c>
      <c r="L277" s="7" t="inlineStr">
        <is>
          <t>— Not tested</t>
        </is>
      </c>
    </row>
    <row r="278">
      <c r="A278" s="8" t="n">
        <v>277</v>
      </c>
      <c r="B278" s="8" t="inlineStr">
        <is>
          <t>2 — Sessions</t>
        </is>
      </c>
      <c r="C278" s="8" t="n">
        <v>24</v>
      </c>
      <c r="D278" s="8" t="inlineStr">
        <is>
          <t>Add Session — Save, Start, Limits</t>
        </is>
      </c>
      <c r="E278" s="7" t="inlineStr">
        <is>
          <t>Logic</t>
        </is>
      </c>
      <c r="F278" s="7" t="inlineStr">
        <is>
          <t>P0</t>
        </is>
      </c>
      <c r="G278" s="7" t="inlineStr">
        <is>
          <t>Fill required fields → Save (no launch).</t>
        </is>
      </c>
      <c r="H278" s="7" t="inlineStr">
        <is>
          <t>—</t>
        </is>
      </c>
      <c r="I278" s="7" t="inlineStr">
        <is>
          <t>Session in list as Not Started.</t>
        </is>
      </c>
      <c r="J278" s="7" t="inlineStr">
        <is>
          <t>— Not tested</t>
        </is>
      </c>
      <c r="K278" s="7" t="inlineStr">
        <is>
          <t>— Not tested</t>
        </is>
      </c>
      <c r="L278" s="7" t="inlineStr">
        <is>
          <t>— Not tested</t>
        </is>
      </c>
    </row>
    <row r="279">
      <c r="A279" s="8" t="n">
        <v>278</v>
      </c>
      <c r="B279" s="8" t="inlineStr">
        <is>
          <t>2 — Sessions</t>
        </is>
      </c>
      <c r="C279" s="8" t="n">
        <v>24</v>
      </c>
      <c r="D279" s="8" t="inlineStr">
        <is>
          <t>Add Session — Save, Start, Limits</t>
        </is>
      </c>
      <c r="E279" s="7" t="inlineStr">
        <is>
          <t>Logic</t>
        </is>
      </c>
      <c r="F279" s="7" t="inlineStr">
        <is>
          <t>P0</t>
        </is>
      </c>
      <c r="G279" s="7" t="inlineStr">
        <is>
          <t>Fill required → Start Session.</t>
        </is>
      </c>
      <c r="H279" s="7" t="inlineStr">
        <is>
          <t>—</t>
        </is>
      </c>
      <c r="I279" s="7" t="inlineStr">
        <is>
          <t>Redirects to chart; session Active.</t>
        </is>
      </c>
      <c r="J279" s="7" t="inlineStr">
        <is>
          <t>— Not tested</t>
        </is>
      </c>
      <c r="K279" s="7" t="inlineStr">
        <is>
          <t>— Not tested</t>
        </is>
      </c>
      <c r="L279" s="7" t="inlineStr">
        <is>
          <t>— Not tested</t>
        </is>
      </c>
    </row>
    <row r="280">
      <c r="A280" s="8" t="n">
        <v>279</v>
      </c>
      <c r="B280" s="8" t="inlineStr">
        <is>
          <t>2 — Sessions</t>
        </is>
      </c>
      <c r="C280" s="8" t="n">
        <v>24</v>
      </c>
      <c r="D280" s="8" t="inlineStr">
        <is>
          <t>Add Session — Save, Start, Limits</t>
        </is>
      </c>
      <c r="E280" s="7" t="inlineStr">
        <is>
          <t>Logic</t>
        </is>
      </c>
      <c r="F280" s="7" t="inlineStr">
        <is>
          <t>P0</t>
        </is>
      </c>
      <c r="G280" s="7" t="inlineStr">
        <is>
          <t>Missing name → buttons disabled.</t>
        </is>
      </c>
      <c r="H280" s="7" t="inlineStr">
        <is>
          <t>—</t>
        </is>
      </c>
      <c r="I280" s="7" t="inlineStr">
        <is>
          <t>Cannot submit.</t>
        </is>
      </c>
      <c r="J280" s="7" t="inlineStr">
        <is>
          <t>— Not tested</t>
        </is>
      </c>
      <c r="K280" s="7" t="inlineStr">
        <is>
          <t>— Not tested</t>
        </is>
      </c>
      <c r="L280" s="7" t="inlineStr">
        <is>
          <t>— Not tested</t>
        </is>
      </c>
    </row>
    <row r="281">
      <c r="A281" s="8" t="n">
        <v>280</v>
      </c>
      <c r="B281" s="8" t="inlineStr">
        <is>
          <t>2 — Sessions</t>
        </is>
      </c>
      <c r="C281" s="8" t="n">
        <v>24</v>
      </c>
      <c r="D281" s="8" t="inlineStr">
        <is>
          <t>Add Session — Save, Start, Limits</t>
        </is>
      </c>
      <c r="E281" s="7" t="inlineStr">
        <is>
          <t>Logic</t>
        </is>
      </c>
      <c r="F281" s="7" t="inlineStr">
        <is>
          <t>P0</t>
        </is>
      </c>
      <c r="G281" s="7" t="inlineStr">
        <is>
          <t>Missing ticker → disabled.</t>
        </is>
      </c>
      <c r="H281" s="7" t="inlineStr">
        <is>
          <t>—</t>
        </is>
      </c>
      <c r="I281" s="7" t="inlineStr">
        <is>
          <t>Cannot submit.</t>
        </is>
      </c>
      <c r="J281" s="7" t="inlineStr">
        <is>
          <t>— Not tested</t>
        </is>
      </c>
      <c r="K281" s="7" t="inlineStr">
        <is>
          <t>— Not tested</t>
        </is>
      </c>
      <c r="L281" s="7" t="inlineStr">
        <is>
          <t>— Not tested</t>
        </is>
      </c>
    </row>
    <row r="282">
      <c r="A282" s="8" t="n">
        <v>281</v>
      </c>
      <c r="B282" s="8" t="inlineStr">
        <is>
          <t>2 — Sessions</t>
        </is>
      </c>
      <c r="C282" s="8" t="n">
        <v>24</v>
      </c>
      <c r="D282" s="8" t="inlineStr">
        <is>
          <t>Add Session — Save, Start, Limits</t>
        </is>
      </c>
      <c r="E282" s="7" t="inlineStr">
        <is>
          <t>Logic</t>
        </is>
      </c>
      <c r="F282" s="7" t="inlineStr">
        <is>
          <t>P0</t>
        </is>
      </c>
      <c r="G282" s="7" t="inlineStr">
        <is>
          <t>Missing dates → disabled.</t>
        </is>
      </c>
      <c r="H282" s="7" t="inlineStr">
        <is>
          <t>—</t>
        </is>
      </c>
      <c r="I282" s="7" t="inlineStr">
        <is>
          <t>Cannot submit.</t>
        </is>
      </c>
      <c r="J282" s="7" t="inlineStr">
        <is>
          <t>— Not tested</t>
        </is>
      </c>
      <c r="K282" s="7" t="inlineStr">
        <is>
          <t>— Not tested</t>
        </is>
      </c>
      <c r="L282" s="7" t="inlineStr">
        <is>
          <t>— Not tested</t>
        </is>
      </c>
    </row>
    <row r="283">
      <c r="A283" s="8" t="n">
        <v>282</v>
      </c>
      <c r="B283" s="8" t="inlineStr">
        <is>
          <t>2 — Sessions</t>
        </is>
      </c>
      <c r="C283" s="8" t="n">
        <v>24</v>
      </c>
      <c r="D283" s="8" t="inlineStr">
        <is>
          <t>Add Session — Save, Start, Limits</t>
        </is>
      </c>
      <c r="E283" s="7" t="inlineStr">
        <is>
          <t>Logic</t>
        </is>
      </c>
      <c r="F283" s="7" t="inlineStr">
        <is>
          <t>P0</t>
        </is>
      </c>
      <c r="G283" s="7" t="inlineStr">
        <is>
          <t>Missing capital → disabled.</t>
        </is>
      </c>
      <c r="H283" s="7" t="inlineStr">
        <is>
          <t>—</t>
        </is>
      </c>
      <c r="I283" s="7" t="inlineStr">
        <is>
          <t>Cannot submit.</t>
        </is>
      </c>
      <c r="J283" s="7" t="inlineStr">
        <is>
          <t>— Not tested</t>
        </is>
      </c>
      <c r="K283" s="7" t="inlineStr">
        <is>
          <t>— Not tested</t>
        </is>
      </c>
      <c r="L283" s="7" t="inlineStr">
        <is>
          <t>— Not tested</t>
        </is>
      </c>
    </row>
    <row r="284">
      <c r="A284" s="8" t="n">
        <v>283</v>
      </c>
      <c r="B284" s="8" t="inlineStr">
        <is>
          <t>2 — Sessions</t>
        </is>
      </c>
      <c r="C284" s="8" t="n">
        <v>24</v>
      </c>
      <c r="D284" s="8" t="inlineStr">
        <is>
          <t>Add Session — Save, Start, Limits</t>
        </is>
      </c>
      <c r="E284" s="7" t="inlineStr">
        <is>
          <t>Logic</t>
        </is>
      </c>
      <c r="F284" s="7" t="inlineStr">
        <is>
          <t>P1</t>
        </is>
      </c>
      <c r="G284" s="7" t="inlineStr">
        <is>
          <t>At session plan cap → create another.</t>
        </is>
      </c>
      <c r="H284" s="7" t="inlineStr">
        <is>
          <t>—</t>
        </is>
      </c>
      <c r="I284" s="7" t="inlineStr">
        <is>
          <t>Session limit modal.</t>
        </is>
      </c>
      <c r="J284" s="7" t="inlineStr">
        <is>
          <t>— Not tested</t>
        </is>
      </c>
      <c r="K284" s="7" t="inlineStr">
        <is>
          <t>— Not tested</t>
        </is>
      </c>
      <c r="L284" s="7" t="inlineStr">
        <is>
          <t>— Not tested</t>
        </is>
      </c>
    </row>
    <row r="285">
      <c r="A285" s="8" t="n">
        <v>284</v>
      </c>
      <c r="B285" s="8" t="inlineStr">
        <is>
          <t>2 — Sessions</t>
        </is>
      </c>
      <c r="C285" s="8" t="n">
        <v>24</v>
      </c>
      <c r="D285" s="8" t="inlineStr">
        <is>
          <t>Add Session — Save, Start, Limits</t>
        </is>
      </c>
      <c r="E285" s="7" t="inlineStr">
        <is>
          <t>Logic</t>
        </is>
      </c>
      <c r="F285" s="7" t="inlineStr">
        <is>
          <t>P0</t>
        </is>
      </c>
      <c r="G285" s="7" t="inlineStr">
        <is>
          <t>Edit not-started session: change name, Save.</t>
        </is>
      </c>
      <c r="H285" s="7" t="inlineStr">
        <is>
          <t>—</t>
        </is>
      </c>
      <c r="I285" s="7" t="inlineStr">
        <is>
          <t>Updates in list.</t>
        </is>
      </c>
      <c r="J285" s="7" t="inlineStr">
        <is>
          <t>— Not tested</t>
        </is>
      </c>
      <c r="K285" s="7" t="inlineStr">
        <is>
          <t>— Not tested</t>
        </is>
      </c>
      <c r="L285" s="7" t="inlineStr">
        <is>
          <t>— Not tested</t>
        </is>
      </c>
    </row>
    <row r="286">
      <c r="A286" s="8" t="n">
        <v>285</v>
      </c>
      <c r="B286" s="8" t="inlineStr">
        <is>
          <t>2 — Sessions</t>
        </is>
      </c>
      <c r="C286" s="8" t="n">
        <v>24</v>
      </c>
      <c r="D286" s="8" t="inlineStr">
        <is>
          <t>Add Session — Save, Start, Limits</t>
        </is>
      </c>
      <c r="E286" s="7" t="inlineStr">
        <is>
          <t>Logic</t>
        </is>
      </c>
      <c r="F286" s="7" t="inlineStr">
        <is>
          <t>P1</t>
        </is>
      </c>
      <c r="G286" s="7" t="inlineStr">
        <is>
          <t>Edit not-started: change all fields, Save.</t>
        </is>
      </c>
      <c r="H286" s="7" t="inlineStr">
        <is>
          <t>—</t>
        </is>
      </c>
      <c r="I286" s="7" t="inlineStr">
        <is>
          <t>All persist on reopen.</t>
        </is>
      </c>
      <c r="J286" s="7" t="inlineStr">
        <is>
          <t>— Not tested</t>
        </is>
      </c>
      <c r="K286" s="7" t="inlineStr">
        <is>
          <t>— Not tested</t>
        </is>
      </c>
      <c r="L286" s="7" t="inlineStr">
        <is>
          <t>— Not tested</t>
        </is>
      </c>
    </row>
    <row r="287">
      <c r="A287" s="9" t="n">
        <v>286</v>
      </c>
      <c r="B287" s="9" t="inlineStr">
        <is>
          <t>3 — Trades</t>
        </is>
      </c>
      <c r="C287" s="9" t="n">
        <v>25</v>
      </c>
      <c r="D287" s="9" t="inlineStr">
        <is>
          <t>Trades Page — Shell &amp; Header</t>
        </is>
      </c>
      <c r="E287" s="7" t="inlineStr">
        <is>
          <t>Structure</t>
        </is>
      </c>
      <c r="F287" s="7" t="inlineStr">
        <is>
          <t>P0</t>
        </is>
      </c>
      <c r="G287" s="7" t="inlineStr">
        <is>
          <t>Open Trades via left nav.</t>
        </is>
      </c>
      <c r="H287" s="7" t="inlineStr">
        <is>
          <t>—</t>
        </is>
      </c>
      <c r="I287" s="7" t="inlineStr">
        <is>
          <t>Trade table visible.</t>
        </is>
      </c>
      <c r="J287" s="7" t="inlineStr">
        <is>
          <t>— Not tested</t>
        </is>
      </c>
      <c r="K287" s="7" t="inlineStr">
        <is>
          <t>— Not tested</t>
        </is>
      </c>
      <c r="L287" s="7" t="inlineStr">
        <is>
          <t>— Not tested</t>
        </is>
      </c>
    </row>
    <row r="288">
      <c r="A288" s="9" t="n">
        <v>287</v>
      </c>
      <c r="B288" s="9" t="inlineStr">
        <is>
          <t>3 — Trades</t>
        </is>
      </c>
      <c r="C288" s="9" t="n">
        <v>25</v>
      </c>
      <c r="D288" s="9" t="inlineStr">
        <is>
          <t>Trades Page — Shell &amp; Header</t>
        </is>
      </c>
      <c r="E288" s="7" t="inlineStr">
        <is>
          <t>Structure</t>
        </is>
      </c>
      <c r="F288" s="7" t="inlineStr">
        <is>
          <t>P0</t>
        </is>
      </c>
      <c r="G288" s="7" t="inlineStr">
        <is>
          <t>Source switcher shows active source label.</t>
        </is>
      </c>
      <c r="H288" s="7" t="inlineStr">
        <is>
          <t>—</t>
        </is>
      </c>
      <c r="I288" s="7" t="inlineStr">
        <is>
          <t>Matches applied source.</t>
        </is>
      </c>
      <c r="J288" s="7" t="inlineStr">
        <is>
          <t>— Not tested</t>
        </is>
      </c>
      <c r="K288" s="7" t="inlineStr">
        <is>
          <t>— Not tested</t>
        </is>
      </c>
      <c r="L288" s="7" t="inlineStr">
        <is>
          <t>— Not tested</t>
        </is>
      </c>
    </row>
    <row r="289">
      <c r="A289" s="9" t="n">
        <v>288</v>
      </c>
      <c r="B289" s="9" t="inlineStr">
        <is>
          <t>3 — Trades</t>
        </is>
      </c>
      <c r="C289" s="9" t="n">
        <v>25</v>
      </c>
      <c r="D289" s="9" t="inlineStr">
        <is>
          <t>Trades Page — Shell &amp; Header</t>
        </is>
      </c>
      <c r="E289" s="7" t="inlineStr">
        <is>
          <t>Structure</t>
        </is>
      </c>
      <c r="F289" s="7" t="inlineStr">
        <is>
          <t>P1</t>
        </is>
      </c>
      <c r="G289" s="7" t="inlineStr">
        <is>
          <t>With no source applied, note empty state.</t>
        </is>
      </c>
      <c r="H289" s="7" t="inlineStr">
        <is>
          <t>—</t>
        </is>
      </c>
      <c r="I289" s="7" t="inlineStr">
        <is>
          <t>Prompt to select source or empty table.</t>
        </is>
      </c>
      <c r="J289" s="7" t="inlineStr">
        <is>
          <t>— Not tested</t>
        </is>
      </c>
      <c r="K289" s="7" t="inlineStr">
        <is>
          <t>— Not tested</t>
        </is>
      </c>
      <c r="L289" s="7" t="inlineStr">
        <is>
          <t>— Not tested</t>
        </is>
      </c>
    </row>
    <row r="290">
      <c r="A290" s="9" t="n">
        <v>289</v>
      </c>
      <c r="B290" s="9" t="inlineStr">
        <is>
          <t>3 — Trades</t>
        </is>
      </c>
      <c r="C290" s="9" t="n">
        <v>26</v>
      </c>
      <c r="D290" s="9" t="inlineStr">
        <is>
          <t>Trades — Filters, Import, Export, Compare</t>
        </is>
      </c>
      <c r="E290" s="7" t="inlineStr">
        <is>
          <t>Configuration</t>
        </is>
      </c>
      <c r="F290" s="7" t="inlineStr">
        <is>
          <t>P0</t>
        </is>
      </c>
      <c r="G290" s="7" t="inlineStr">
        <is>
          <t>Open Filters panel.</t>
        </is>
      </c>
      <c r="H290" s="7" t="inlineStr">
        <is>
          <t>—</t>
        </is>
      </c>
      <c r="I290" s="7" t="inlineStr">
        <is>
          <t>Date, scope, tags, outcome, privacy options.</t>
        </is>
      </c>
      <c r="J290" s="7" t="inlineStr">
        <is>
          <t>— Not tested</t>
        </is>
      </c>
      <c r="K290" s="7" t="inlineStr">
        <is>
          <t>— Not tested</t>
        </is>
      </c>
      <c r="L290" s="7" t="inlineStr">
        <is>
          <t>— Not tested</t>
        </is>
      </c>
    </row>
    <row r="291">
      <c r="A291" s="9" t="n">
        <v>290</v>
      </c>
      <c r="B291" s="9" t="inlineStr">
        <is>
          <t>3 — Trades</t>
        </is>
      </c>
      <c r="C291" s="9" t="n">
        <v>26</v>
      </c>
      <c r="D291" s="9" t="inlineStr">
        <is>
          <t>Trades — Filters, Import, Export, Compare</t>
        </is>
      </c>
      <c r="E291" s="7" t="inlineStr">
        <is>
          <t>Configuration</t>
        </is>
      </c>
      <c r="F291" s="7" t="inlineStr">
        <is>
          <t>P1</t>
        </is>
      </c>
      <c r="G291" s="7" t="inlineStr">
        <is>
          <t>Filter date range: last 30 days.</t>
        </is>
      </c>
      <c r="H291" s="7" t="inlineStr">
        <is>
          <t>30d</t>
        </is>
      </c>
      <c r="I291" s="7" t="inlineStr">
        <is>
          <t>Table filters.</t>
        </is>
      </c>
      <c r="J291" s="7" t="inlineStr">
        <is>
          <t>— Not tested</t>
        </is>
      </c>
      <c r="K291" s="7" t="inlineStr">
        <is>
          <t>— Not tested</t>
        </is>
      </c>
      <c r="L291" s="7" t="inlineStr">
        <is>
          <t>— Not tested</t>
        </is>
      </c>
    </row>
    <row r="292">
      <c r="A292" s="9" t="n">
        <v>291</v>
      </c>
      <c r="B292" s="9" t="inlineStr">
        <is>
          <t>3 — Trades</t>
        </is>
      </c>
      <c r="C292" s="9" t="n">
        <v>26</v>
      </c>
      <c r="D292" s="9" t="inlineStr">
        <is>
          <t>Trades — Filters, Import, Export, Compare</t>
        </is>
      </c>
      <c r="E292" s="7" t="inlineStr">
        <is>
          <t>Configuration</t>
        </is>
      </c>
      <c r="F292" s="7" t="inlineStr">
        <is>
          <t>P2</t>
        </is>
      </c>
      <c r="G292" s="7" t="inlineStr">
        <is>
          <t>Filter date range: custom 1 day.</t>
        </is>
      </c>
      <c r="H292" s="7" t="inlineStr">
        <is>
          <t>1 day</t>
        </is>
      </c>
      <c r="I292" s="7" t="inlineStr">
        <is>
          <t>Narrow results.</t>
        </is>
      </c>
      <c r="J292" s="7" t="inlineStr">
        <is>
          <t>— Not tested</t>
        </is>
      </c>
      <c r="K292" s="7" t="inlineStr">
        <is>
          <t>— Not tested</t>
        </is>
      </c>
      <c r="L292" s="7" t="inlineStr">
        <is>
          <t>— Not tested</t>
        </is>
      </c>
    </row>
    <row r="293">
      <c r="A293" s="9" t="n">
        <v>292</v>
      </c>
      <c r="B293" s="9" t="inlineStr">
        <is>
          <t>3 — Trades</t>
        </is>
      </c>
      <c r="C293" s="9" t="n">
        <v>26</v>
      </c>
      <c r="D293" s="9" t="inlineStr">
        <is>
          <t>Trades — Filters, Import, Export, Compare</t>
        </is>
      </c>
      <c r="E293" s="7" t="inlineStr">
        <is>
          <t>Configuration</t>
        </is>
      </c>
      <c r="F293" s="7" t="inlineStr">
        <is>
          <t>P1</t>
        </is>
      </c>
      <c r="G293" s="7" t="inlineStr">
        <is>
          <t>Filter by outcome: winners only.</t>
        </is>
      </c>
      <c r="H293" s="7" t="inlineStr">
        <is>
          <t>winners</t>
        </is>
      </c>
      <c r="I293" s="7" t="inlineStr">
        <is>
          <t>Only positive P&amp;L rows.</t>
        </is>
      </c>
      <c r="J293" s="7" t="inlineStr">
        <is>
          <t>— Not tested</t>
        </is>
      </c>
      <c r="K293" s="7" t="inlineStr">
        <is>
          <t>— Not tested</t>
        </is>
      </c>
      <c r="L293" s="7" t="inlineStr">
        <is>
          <t>— Not tested</t>
        </is>
      </c>
    </row>
    <row r="294">
      <c r="A294" s="9" t="n">
        <v>293</v>
      </c>
      <c r="B294" s="9" t="inlineStr">
        <is>
          <t>3 — Trades</t>
        </is>
      </c>
      <c r="C294" s="9" t="n">
        <v>26</v>
      </c>
      <c r="D294" s="9" t="inlineStr">
        <is>
          <t>Trades — Filters, Import, Export, Compare</t>
        </is>
      </c>
      <c r="E294" s="7" t="inlineStr">
        <is>
          <t>Configuration</t>
        </is>
      </c>
      <c r="F294" s="7" t="inlineStr">
        <is>
          <t>P1</t>
        </is>
      </c>
      <c r="G294" s="7" t="inlineStr">
        <is>
          <t>Filter by outcome: losers only.</t>
        </is>
      </c>
      <c r="H294" s="7" t="inlineStr">
        <is>
          <t>losers</t>
        </is>
      </c>
      <c r="I294" s="7" t="inlineStr">
        <is>
          <t>Only negative P&amp;L.</t>
        </is>
      </c>
      <c r="J294" s="7" t="inlineStr">
        <is>
          <t>— Not tested</t>
        </is>
      </c>
      <c r="K294" s="7" t="inlineStr">
        <is>
          <t>— Not tested</t>
        </is>
      </c>
      <c r="L294" s="7" t="inlineStr">
        <is>
          <t>— Not tested</t>
        </is>
      </c>
    </row>
    <row r="295">
      <c r="A295" s="9" t="n">
        <v>294</v>
      </c>
      <c r="B295" s="9" t="inlineStr">
        <is>
          <t>3 — Trades</t>
        </is>
      </c>
      <c r="C295" s="9" t="n">
        <v>26</v>
      </c>
      <c r="D295" s="9" t="inlineStr">
        <is>
          <t>Trades — Filters, Import, Export, Compare</t>
        </is>
      </c>
      <c r="E295" s="7" t="inlineStr">
        <is>
          <t>Configuration</t>
        </is>
      </c>
      <c r="F295" s="7" t="inlineStr">
        <is>
          <t>P2</t>
        </is>
      </c>
      <c r="G295" s="7" t="inlineStr">
        <is>
          <t>Combine 3 filters simultaneously.</t>
        </is>
      </c>
      <c r="H295" s="7" t="inlineStr">
        <is>
          <t>multi</t>
        </is>
      </c>
      <c r="I295" s="7" t="inlineStr">
        <is>
          <t>Intersection correct.</t>
        </is>
      </c>
      <c r="J295" s="7" t="inlineStr">
        <is>
          <t>— Not tested</t>
        </is>
      </c>
      <c r="K295" s="7" t="inlineStr">
        <is>
          <t>— Not tested</t>
        </is>
      </c>
      <c r="L295" s="7" t="inlineStr">
        <is>
          <t>— Not tested</t>
        </is>
      </c>
    </row>
    <row r="296">
      <c r="A296" s="9" t="n">
        <v>295</v>
      </c>
      <c r="B296" s="9" t="inlineStr">
        <is>
          <t>3 — Trades</t>
        </is>
      </c>
      <c r="C296" s="9" t="n">
        <v>26</v>
      </c>
      <c r="D296" s="9" t="inlineStr">
        <is>
          <t>Trades — Filters, Import, Export, Compare</t>
        </is>
      </c>
      <c r="E296" s="7" t="inlineStr">
        <is>
          <t>Configuration</t>
        </is>
      </c>
      <c r="F296" s="7" t="inlineStr">
        <is>
          <t>P1</t>
        </is>
      </c>
      <c r="G296" s="7" t="inlineStr">
        <is>
          <t>Clear all filters.</t>
        </is>
      </c>
      <c r="H296" s="7" t="inlineStr">
        <is>
          <t>—</t>
        </is>
      </c>
      <c r="I296" s="7" t="inlineStr">
        <is>
          <t>Full list returns.</t>
        </is>
      </c>
      <c r="J296" s="7" t="inlineStr">
        <is>
          <t>— Not tested</t>
        </is>
      </c>
      <c r="K296" s="7" t="inlineStr">
        <is>
          <t>— Not tested</t>
        </is>
      </c>
      <c r="L296" s="7" t="inlineStr">
        <is>
          <t>— Not tested</t>
        </is>
      </c>
    </row>
    <row r="297">
      <c r="A297" s="9" t="n">
        <v>296</v>
      </c>
      <c r="B297" s="9" t="inlineStr">
        <is>
          <t>3 — Trades</t>
        </is>
      </c>
      <c r="C297" s="9" t="n">
        <v>26</v>
      </c>
      <c r="D297" s="9" t="inlineStr">
        <is>
          <t>Trades — Filters, Import, Export, Compare</t>
        </is>
      </c>
      <c r="E297" s="7" t="inlineStr">
        <is>
          <t>Configuration</t>
        </is>
      </c>
      <c r="F297" s="7" t="inlineStr">
        <is>
          <t>P0</t>
        </is>
      </c>
      <c r="G297" s="7" t="inlineStr">
        <is>
          <t>Export CSV with trades.</t>
        </is>
      </c>
      <c r="H297" s="7" t="inlineStr">
        <is>
          <t>—</t>
        </is>
      </c>
      <c r="I297" s="7" t="inlineStr">
        <is>
          <t>File downloads with correct columns.</t>
        </is>
      </c>
      <c r="J297" s="7" t="inlineStr">
        <is>
          <t>— Not tested</t>
        </is>
      </c>
      <c r="K297" s="7" t="inlineStr">
        <is>
          <t>— Not tested</t>
        </is>
      </c>
      <c r="L297" s="7" t="inlineStr">
        <is>
          <t>— Not tested</t>
        </is>
      </c>
    </row>
    <row r="298">
      <c r="A298" s="9" t="n">
        <v>297</v>
      </c>
      <c r="B298" s="9" t="inlineStr">
        <is>
          <t>3 — Trades</t>
        </is>
      </c>
      <c r="C298" s="9" t="n">
        <v>26</v>
      </c>
      <c r="D298" s="9" t="inlineStr">
        <is>
          <t>Trades — Filters, Import, Export, Compare</t>
        </is>
      </c>
      <c r="E298" s="7" t="inlineStr">
        <is>
          <t>Configuration</t>
        </is>
      </c>
      <c r="F298" s="7" t="inlineStr">
        <is>
          <t>P2</t>
        </is>
      </c>
      <c r="G298" s="7" t="inlineStr">
        <is>
          <t>Export with zero trades.</t>
        </is>
      </c>
      <c r="H298" s="7" t="inlineStr">
        <is>
          <t>—</t>
        </is>
      </c>
      <c r="I298" s="7" t="inlineStr">
        <is>
          <t>Disabled or empty file message.</t>
        </is>
      </c>
      <c r="J298" s="7" t="inlineStr">
        <is>
          <t>— Not tested</t>
        </is>
      </c>
      <c r="K298" s="7" t="inlineStr">
        <is>
          <t>— Not tested</t>
        </is>
      </c>
      <c r="L298" s="7" t="inlineStr">
        <is>
          <t>— Not tested</t>
        </is>
      </c>
    </row>
    <row r="299">
      <c r="A299" s="9" t="n">
        <v>298</v>
      </c>
      <c r="B299" s="9" t="inlineStr">
        <is>
          <t>3 — Trades</t>
        </is>
      </c>
      <c r="C299" s="9" t="n">
        <v>26</v>
      </c>
      <c r="D299" s="9" t="inlineStr">
        <is>
          <t>Trades — Filters, Import, Export, Compare</t>
        </is>
      </c>
      <c r="E299" s="7" t="inlineStr">
        <is>
          <t>Configuration</t>
        </is>
      </c>
      <c r="F299" s="7" t="inlineStr">
        <is>
          <t>P1</t>
        </is>
      </c>
      <c r="G299" s="7" t="inlineStr">
        <is>
          <t>Import valid CSV.</t>
        </is>
      </c>
      <c r="H299" s="7" t="inlineStr">
        <is>
          <t>valid template</t>
        </is>
      </c>
      <c r="I299" s="7" t="inlineStr">
        <is>
          <t>Trades added; count updates.</t>
        </is>
      </c>
      <c r="J299" s="7" t="inlineStr">
        <is>
          <t>— Not tested</t>
        </is>
      </c>
      <c r="K299" s="7" t="inlineStr">
        <is>
          <t>— Not tested</t>
        </is>
      </c>
      <c r="L299" s="7" t="inlineStr">
        <is>
          <t>— Not tested</t>
        </is>
      </c>
    </row>
    <row r="300">
      <c r="A300" s="9" t="n">
        <v>299</v>
      </c>
      <c r="B300" s="9" t="inlineStr">
        <is>
          <t>3 — Trades</t>
        </is>
      </c>
      <c r="C300" s="9" t="n">
        <v>26</v>
      </c>
      <c r="D300" s="9" t="inlineStr">
        <is>
          <t>Trades — Filters, Import, Export, Compare</t>
        </is>
      </c>
      <c r="E300" s="7" t="inlineStr">
        <is>
          <t>Configuration</t>
        </is>
      </c>
      <c r="F300" s="7" t="inlineStr">
        <is>
          <t>P1</t>
        </is>
      </c>
      <c r="G300" s="7" t="inlineStr">
        <is>
          <t>Import malformed CSV.</t>
        </is>
      </c>
      <c r="H300" s="7" t="inlineStr">
        <is>
          <t>bad file</t>
        </is>
      </c>
      <c r="I300" s="7" t="inlineStr">
        <is>
          <t>Error message; no partial corrupt data.</t>
        </is>
      </c>
      <c r="J300" s="7" t="inlineStr">
        <is>
          <t>— Not tested</t>
        </is>
      </c>
      <c r="K300" s="7" t="inlineStr">
        <is>
          <t>— Not tested</t>
        </is>
      </c>
      <c r="L300" s="7" t="inlineStr">
        <is>
          <t>— Not tested</t>
        </is>
      </c>
    </row>
    <row r="301">
      <c r="A301" s="9" t="n">
        <v>300</v>
      </c>
      <c r="B301" s="9" t="inlineStr">
        <is>
          <t>3 — Trades</t>
        </is>
      </c>
      <c r="C301" s="9" t="n">
        <v>26</v>
      </c>
      <c r="D301" s="9" t="inlineStr">
        <is>
          <t>Trades — Filters, Import, Export, Compare</t>
        </is>
      </c>
      <c r="E301" s="7" t="inlineStr">
        <is>
          <t>Configuration</t>
        </is>
      </c>
      <c r="F301" s="7" t="inlineStr">
        <is>
          <t>P2</t>
        </is>
      </c>
      <c r="G301" s="7" t="inlineStr">
        <is>
          <t>Import while trades exist.</t>
        </is>
      </c>
      <c r="H301" s="7" t="inlineStr">
        <is>
          <t>—</t>
        </is>
      </c>
      <c r="I301" s="7" t="inlineStr">
        <is>
          <t>Merge or duplicate behavior documented.</t>
        </is>
      </c>
      <c r="J301" s="7" t="inlineStr">
        <is>
          <t>— Not tested</t>
        </is>
      </c>
      <c r="K301" s="7" t="inlineStr">
        <is>
          <t>— Not tested</t>
        </is>
      </c>
      <c r="L301" s="7" t="inlineStr">
        <is>
          <t>— Not tested</t>
        </is>
      </c>
    </row>
    <row r="302">
      <c r="A302" s="9" t="n">
        <v>301</v>
      </c>
      <c r="B302" s="9" t="inlineStr">
        <is>
          <t>3 — Trades</t>
        </is>
      </c>
      <c r="C302" s="9" t="n">
        <v>26</v>
      </c>
      <c r="D302" s="9" t="inlineStr">
        <is>
          <t>Trades — Filters, Import, Export, Compare</t>
        </is>
      </c>
      <c r="E302" s="7" t="inlineStr">
        <is>
          <t>Configuration</t>
        </is>
      </c>
      <c r="F302" s="7" t="inlineStr">
        <is>
          <t>P1</t>
        </is>
      </c>
      <c r="G302" s="7" t="inlineStr">
        <is>
          <t>Enable Compare mode.</t>
        </is>
      </c>
      <c r="H302" s="7" t="inlineStr">
        <is>
          <t>—</t>
        </is>
      </c>
      <c r="I302" s="7" t="inlineStr">
        <is>
          <t>Compare UI active.</t>
        </is>
      </c>
      <c r="J302" s="7" t="inlineStr">
        <is>
          <t>— Not tested</t>
        </is>
      </c>
      <c r="K302" s="7" t="inlineStr">
        <is>
          <t>— Not tested</t>
        </is>
      </c>
      <c r="L302" s="7" t="inlineStr">
        <is>
          <t>— Not tested</t>
        </is>
      </c>
    </row>
    <row r="303">
      <c r="A303" s="9" t="n">
        <v>302</v>
      </c>
      <c r="B303" s="9" t="inlineStr">
        <is>
          <t>3 — Trades</t>
        </is>
      </c>
      <c r="C303" s="9" t="n">
        <v>26</v>
      </c>
      <c r="D303" s="9" t="inlineStr">
        <is>
          <t>Trades — Filters, Import, Export, Compare</t>
        </is>
      </c>
      <c r="E303" s="7" t="inlineStr">
        <is>
          <t>Configuration</t>
        </is>
      </c>
      <c r="F303" s="7" t="inlineStr">
        <is>
          <t>P1</t>
        </is>
      </c>
      <c r="G303" s="7" t="inlineStr">
        <is>
          <t>Clear compare.</t>
        </is>
      </c>
      <c r="H303" s="7" t="inlineStr">
        <is>
          <t>—</t>
        </is>
      </c>
      <c r="I303" s="7" t="inlineStr">
        <is>
          <t>Returns to single source.</t>
        </is>
      </c>
      <c r="J303" s="7" t="inlineStr">
        <is>
          <t>— Not tested</t>
        </is>
      </c>
      <c r="K303" s="7" t="inlineStr">
        <is>
          <t>— Not tested</t>
        </is>
      </c>
      <c r="L303" s="7" t="inlineStr">
        <is>
          <t>— Not tested</t>
        </is>
      </c>
    </row>
    <row r="304">
      <c r="A304" s="9" t="n">
        <v>303</v>
      </c>
      <c r="B304" s="9" t="inlineStr">
        <is>
          <t>3 — Trades</t>
        </is>
      </c>
      <c r="C304" s="9" t="n">
        <v>27</v>
      </c>
      <c r="D304" s="9" t="inlineStr">
        <is>
          <t>Trades Table — Columns, Sort, Expand</t>
        </is>
      </c>
      <c r="E304" s="7" t="inlineStr">
        <is>
          <t>Structure</t>
        </is>
      </c>
      <c r="F304" s="7" t="inlineStr">
        <is>
          <t>P0</t>
        </is>
      </c>
      <c r="G304" s="7" t="inlineStr">
        <is>
          <t>Verify default columns present.</t>
        </is>
      </c>
      <c r="H304" s="7" t="inlineStr">
        <is>
          <t>—</t>
        </is>
      </c>
      <c r="I304" s="7" t="inlineStr">
        <is>
          <t>ID, Source, Date, Symbol, Side, Qty, Status, P&amp;L, R.</t>
        </is>
      </c>
      <c r="J304" s="7" t="inlineStr">
        <is>
          <t>— Not tested</t>
        </is>
      </c>
      <c r="K304" s="7" t="inlineStr">
        <is>
          <t>— Not tested</t>
        </is>
      </c>
      <c r="L304" s="7" t="inlineStr">
        <is>
          <t>— Not tested</t>
        </is>
      </c>
    </row>
    <row r="305">
      <c r="A305" s="9" t="n">
        <v>304</v>
      </c>
      <c r="B305" s="9" t="inlineStr">
        <is>
          <t>3 — Trades</t>
        </is>
      </c>
      <c r="C305" s="9" t="n">
        <v>27</v>
      </c>
      <c r="D305" s="9" t="inlineStr">
        <is>
          <t>Trades Table — Columns, Sort, Expand</t>
        </is>
      </c>
      <c r="E305" s="7" t="inlineStr">
        <is>
          <t>Structure</t>
        </is>
      </c>
      <c r="F305" s="7" t="inlineStr">
        <is>
          <t>P1</t>
        </is>
      </c>
      <c r="G305" s="7" t="inlineStr">
        <is>
          <t>Column picker: enable each optional column.</t>
        </is>
      </c>
      <c r="H305" s="7" t="inlineStr">
        <is>
          <t>all optional</t>
        </is>
      </c>
      <c r="I305" s="7" t="inlineStr">
        <is>
          <t>Each appears in table.</t>
        </is>
      </c>
      <c r="J305" s="7" t="inlineStr">
        <is>
          <t>— Not tested</t>
        </is>
      </c>
      <c r="K305" s="7" t="inlineStr">
        <is>
          <t>— Not tested</t>
        </is>
      </c>
      <c r="L305" s="7" t="inlineStr">
        <is>
          <t>— Not tested</t>
        </is>
      </c>
    </row>
    <row r="306">
      <c r="A306" s="9" t="n">
        <v>305</v>
      </c>
      <c r="B306" s="9" t="inlineStr">
        <is>
          <t>3 — Trades</t>
        </is>
      </c>
      <c r="C306" s="9" t="n">
        <v>27</v>
      </c>
      <c r="D306" s="9" t="inlineStr">
        <is>
          <t>Trades Table — Columns, Sort, Expand</t>
        </is>
      </c>
      <c r="E306" s="7" t="inlineStr">
        <is>
          <t>Structure</t>
        </is>
      </c>
      <c r="F306" s="7" t="inlineStr">
        <is>
          <t>P2</t>
        </is>
      </c>
      <c r="G306" s="7" t="inlineStr">
        <is>
          <t>Column picker: max 12 on overview.</t>
        </is>
      </c>
      <c r="H306" s="7" t="inlineStr">
        <is>
          <t>13th column</t>
        </is>
      </c>
      <c r="I306" s="7" t="inlineStr">
        <is>
          <t>Blocked or warning at 12.</t>
        </is>
      </c>
      <c r="J306" s="7" t="inlineStr">
        <is>
          <t>— Not tested</t>
        </is>
      </c>
      <c r="K306" s="7" t="inlineStr">
        <is>
          <t>— Not tested</t>
        </is>
      </c>
      <c r="L306" s="7" t="inlineStr">
        <is>
          <t>— Not tested</t>
        </is>
      </c>
    </row>
    <row r="307">
      <c r="A307" s="9" t="n">
        <v>306</v>
      </c>
      <c r="B307" s="9" t="inlineStr">
        <is>
          <t>3 — Trades</t>
        </is>
      </c>
      <c r="C307" s="9" t="n">
        <v>27</v>
      </c>
      <c r="D307" s="9" t="inlineStr">
        <is>
          <t>Trades Table — Columns, Sort, Expand</t>
        </is>
      </c>
      <c r="E307" s="7" t="inlineStr">
        <is>
          <t>Structure</t>
        </is>
      </c>
      <c r="F307" s="7" t="inlineStr">
        <is>
          <t>P2</t>
        </is>
      </c>
      <c r="G307" s="7" t="inlineStr">
        <is>
          <t>Save custom column view name.</t>
        </is>
      </c>
      <c r="H307" s="7" t="inlineStr">
        <is>
          <t>My View</t>
        </is>
      </c>
      <c r="I307" s="7" t="inlineStr">
        <is>
          <t>View restorable.</t>
        </is>
      </c>
      <c r="J307" s="7" t="inlineStr">
        <is>
          <t>— Not tested</t>
        </is>
      </c>
      <c r="K307" s="7" t="inlineStr">
        <is>
          <t>— Not tested</t>
        </is>
      </c>
      <c r="L307" s="7" t="inlineStr">
        <is>
          <t>— Not tested</t>
        </is>
      </c>
    </row>
    <row r="308">
      <c r="A308" s="9" t="n">
        <v>307</v>
      </c>
      <c r="B308" s="9" t="inlineStr">
        <is>
          <t>3 — Trades</t>
        </is>
      </c>
      <c r="C308" s="9" t="n">
        <v>27</v>
      </c>
      <c r="D308" s="9" t="inlineStr">
        <is>
          <t>Trades Table — Columns, Sort, Expand</t>
        </is>
      </c>
      <c r="E308" s="7" t="inlineStr">
        <is>
          <t>Structure</t>
        </is>
      </c>
      <c r="F308" s="7" t="inlineStr">
        <is>
          <t>P1</t>
        </is>
      </c>
      <c r="G308" s="7" t="inlineStr">
        <is>
          <t>Sort by Date asc/desc.</t>
        </is>
      </c>
      <c r="H308" s="7" t="inlineStr">
        <is>
          <t>—</t>
        </is>
      </c>
      <c r="I308" s="7" t="inlineStr">
        <is>
          <t>Chronological order.</t>
        </is>
      </c>
      <c r="J308" s="7" t="inlineStr">
        <is>
          <t>— Not tested</t>
        </is>
      </c>
      <c r="K308" s="7" t="inlineStr">
        <is>
          <t>— Not tested</t>
        </is>
      </c>
      <c r="L308" s="7" t="inlineStr">
        <is>
          <t>— Not tested</t>
        </is>
      </c>
    </row>
    <row r="309">
      <c r="A309" s="9" t="n">
        <v>308</v>
      </c>
      <c r="B309" s="9" t="inlineStr">
        <is>
          <t>3 — Trades</t>
        </is>
      </c>
      <c r="C309" s="9" t="n">
        <v>27</v>
      </c>
      <c r="D309" s="9" t="inlineStr">
        <is>
          <t>Trades Table — Columns, Sort, Expand</t>
        </is>
      </c>
      <c r="E309" s="7" t="inlineStr">
        <is>
          <t>Structure</t>
        </is>
      </c>
      <c r="F309" s="7" t="inlineStr">
        <is>
          <t>P1</t>
        </is>
      </c>
      <c r="G309" s="7" t="inlineStr">
        <is>
          <t>Sort by Net P&amp;L.</t>
        </is>
      </c>
      <c r="H309" s="7" t="inlineStr">
        <is>
          <t>—</t>
        </is>
      </c>
      <c r="I309" s="7" t="inlineStr">
        <is>
          <t>Highest/lowest P&amp;L.</t>
        </is>
      </c>
      <c r="J309" s="7" t="inlineStr">
        <is>
          <t>— Not tested</t>
        </is>
      </c>
      <c r="K309" s="7" t="inlineStr">
        <is>
          <t>— Not tested</t>
        </is>
      </c>
      <c r="L309" s="7" t="inlineStr">
        <is>
          <t>— Not tested</t>
        </is>
      </c>
    </row>
    <row r="310">
      <c r="A310" s="9" t="n">
        <v>309</v>
      </c>
      <c r="B310" s="9" t="inlineStr">
        <is>
          <t>3 — Trades</t>
        </is>
      </c>
      <c r="C310" s="9" t="n">
        <v>27</v>
      </c>
      <c r="D310" s="9" t="inlineStr">
        <is>
          <t>Trades Table — Columns, Sort, Expand</t>
        </is>
      </c>
      <c r="E310" s="7" t="inlineStr">
        <is>
          <t>Structure</t>
        </is>
      </c>
      <c r="F310" s="7" t="inlineStr">
        <is>
          <t>P1</t>
        </is>
      </c>
      <c r="G310" s="7" t="inlineStr">
        <is>
          <t>Sort by R.</t>
        </is>
      </c>
      <c r="H310" s="7" t="inlineStr">
        <is>
          <t>—</t>
        </is>
      </c>
      <c r="I310" s="7" t="inlineStr">
        <is>
          <t>R-multiple order.</t>
        </is>
      </c>
      <c r="J310" s="7" t="inlineStr">
        <is>
          <t>— Not tested</t>
        </is>
      </c>
      <c r="K310" s="7" t="inlineStr">
        <is>
          <t>— Not tested</t>
        </is>
      </c>
      <c r="L310" s="7" t="inlineStr">
        <is>
          <t>— Not tested</t>
        </is>
      </c>
    </row>
    <row r="311">
      <c r="A311" s="9" t="n">
        <v>310</v>
      </c>
      <c r="B311" s="9" t="inlineStr">
        <is>
          <t>3 — Trades</t>
        </is>
      </c>
      <c r="C311" s="9" t="n">
        <v>27</v>
      </c>
      <c r="D311" s="9" t="inlineStr">
        <is>
          <t>Trades Table — Columns, Sort, Expand</t>
        </is>
      </c>
      <c r="E311" s="7" t="inlineStr">
        <is>
          <t>Structure</t>
        </is>
      </c>
      <c r="F311" s="7" t="inlineStr">
        <is>
          <t>P0</t>
        </is>
      </c>
      <c r="G311" s="7" t="inlineStr">
        <is>
          <t>Expand row.</t>
        </is>
      </c>
      <c r="H311" s="7" t="inlineStr">
        <is>
          <t>—</t>
        </is>
      </c>
      <c r="I311" s="7" t="inlineStr">
        <is>
          <t>Detail: prices, excursion chart, tags, notes.</t>
        </is>
      </c>
      <c r="J311" s="7" t="inlineStr">
        <is>
          <t>— Not tested</t>
        </is>
      </c>
      <c r="K311" s="7" t="inlineStr">
        <is>
          <t>— Not tested</t>
        </is>
      </c>
      <c r="L311" s="7" t="inlineStr">
        <is>
          <t>— Not tested</t>
        </is>
      </c>
    </row>
    <row r="312">
      <c r="A312" s="9" t="n">
        <v>311</v>
      </c>
      <c r="B312" s="9" t="inlineStr">
        <is>
          <t>3 — Trades</t>
        </is>
      </c>
      <c r="C312" s="9" t="n">
        <v>27</v>
      </c>
      <c r="D312" s="9" t="inlineStr">
        <is>
          <t>Trades Table — Columns, Sort, Expand</t>
        </is>
      </c>
      <c r="E312" s="7" t="inlineStr">
        <is>
          <t>Structure</t>
        </is>
      </c>
      <c r="F312" s="7" t="inlineStr">
        <is>
          <t>P1</t>
        </is>
      </c>
      <c r="G312" s="7" t="inlineStr">
        <is>
          <t>Expand row with screenshots.</t>
        </is>
      </c>
      <c r="H312" s="7" t="inlineStr">
        <is>
          <t>—</t>
        </is>
      </c>
      <c r="I312" s="7" t="inlineStr">
        <is>
          <t>Images display.</t>
        </is>
      </c>
      <c r="J312" s="7" t="inlineStr">
        <is>
          <t>— Not tested</t>
        </is>
      </c>
      <c r="K312" s="7" t="inlineStr">
        <is>
          <t>— Not tested</t>
        </is>
      </c>
      <c r="L312" s="7" t="inlineStr">
        <is>
          <t>— Not tested</t>
        </is>
      </c>
    </row>
    <row r="313">
      <c r="A313" s="9" t="n">
        <v>312</v>
      </c>
      <c r="B313" s="9" t="inlineStr">
        <is>
          <t>3 — Trades</t>
        </is>
      </c>
      <c r="C313" s="9" t="n">
        <v>27</v>
      </c>
      <c r="D313" s="9" t="inlineStr">
        <is>
          <t>Trades Table — Columns, Sort, Expand</t>
        </is>
      </c>
      <c r="E313" s="7" t="inlineStr">
        <is>
          <t>Structure</t>
        </is>
      </c>
      <c r="F313" s="7" t="inlineStr">
        <is>
          <t>P0</t>
        </is>
      </c>
      <c r="G313" s="7" t="inlineStr">
        <is>
          <t>Edit from expanded row.</t>
        </is>
      </c>
      <c r="H313" s="7" t="inlineStr">
        <is>
          <t>—</t>
        </is>
      </c>
      <c r="I313" s="7" t="inlineStr">
        <is>
          <t>Editor opens.</t>
        </is>
      </c>
      <c r="J313" s="7" t="inlineStr">
        <is>
          <t>— Not tested</t>
        </is>
      </c>
      <c r="K313" s="7" t="inlineStr">
        <is>
          <t>— Not tested</t>
        </is>
      </c>
      <c r="L313" s="7" t="inlineStr">
        <is>
          <t>— Not tested</t>
        </is>
      </c>
    </row>
    <row r="314">
      <c r="A314" s="9" t="n">
        <v>313</v>
      </c>
      <c r="B314" s="9" t="inlineStr">
        <is>
          <t>3 — Trades</t>
        </is>
      </c>
      <c r="C314" s="9" t="n">
        <v>28</v>
      </c>
      <c r="D314" s="9" t="inlineStr">
        <is>
          <t>Add Trade — Source Picker</t>
        </is>
      </c>
      <c r="E314" s="7" t="inlineStr">
        <is>
          <t>Logic</t>
        </is>
      </c>
      <c r="F314" s="7" t="inlineStr">
        <is>
          <t>P0</t>
        </is>
      </c>
      <c r="G314" s="7" t="inlineStr">
        <is>
          <t>Add Trade → pick backtest session.</t>
        </is>
      </c>
      <c r="H314" s="7" t="inlineStr">
        <is>
          <t>session</t>
        </is>
      </c>
      <c r="I314" s="7" t="inlineStr">
        <is>
          <t>Editor scoped to session instruments.</t>
        </is>
      </c>
      <c r="J314" s="7" t="inlineStr">
        <is>
          <t>— Not tested</t>
        </is>
      </c>
      <c r="K314" s="7" t="inlineStr">
        <is>
          <t>— Not tested</t>
        </is>
      </c>
      <c r="L314" s="7" t="inlineStr">
        <is>
          <t>— Not tested</t>
        </is>
      </c>
    </row>
    <row r="315">
      <c r="A315" s="9" t="n">
        <v>314</v>
      </c>
      <c r="B315" s="9" t="inlineStr">
        <is>
          <t>3 — Trades</t>
        </is>
      </c>
      <c r="C315" s="9" t="n">
        <v>28</v>
      </c>
      <c r="D315" s="9" t="inlineStr">
        <is>
          <t>Add Trade — Source Picker</t>
        </is>
      </c>
      <c r="E315" s="7" t="inlineStr">
        <is>
          <t>Logic</t>
        </is>
      </c>
      <c r="F315" s="7" t="inlineStr">
        <is>
          <t>P0</t>
        </is>
      </c>
      <c r="G315" s="7" t="inlineStr">
        <is>
          <t>Add Trade → pick journal account.</t>
        </is>
      </c>
      <c r="H315" s="7" t="inlineStr">
        <is>
          <t>journal</t>
        </is>
      </c>
      <c r="I315" s="7" t="inlineStr">
        <is>
          <t>Discipline tab visible.</t>
        </is>
      </c>
      <c r="J315" s="7" t="inlineStr">
        <is>
          <t>— Not tested</t>
        </is>
      </c>
      <c r="K315" s="7" t="inlineStr">
        <is>
          <t>— Not tested</t>
        </is>
      </c>
      <c r="L315" s="7" t="inlineStr">
        <is>
          <t>— Not tested</t>
        </is>
      </c>
    </row>
    <row r="316">
      <c r="A316" s="9" t="n">
        <v>315</v>
      </c>
      <c r="B316" s="9" t="inlineStr">
        <is>
          <t>3 — Trades</t>
        </is>
      </c>
      <c r="C316" s="9" t="n">
        <v>28</v>
      </c>
      <c r="D316" s="9" t="inlineStr">
        <is>
          <t>Add Trade — Source Picker</t>
        </is>
      </c>
      <c r="E316" s="7" t="inlineStr">
        <is>
          <t>Logic</t>
        </is>
      </c>
      <c r="F316" s="7" t="inlineStr">
        <is>
          <t>P2</t>
        </is>
      </c>
      <c r="G316" s="7" t="inlineStr">
        <is>
          <t>Single eligible source auto-skip picker.</t>
        </is>
      </c>
      <c r="H316" s="7" t="inlineStr">
        <is>
          <t>1 source</t>
        </is>
      </c>
      <c r="I316" s="7" t="inlineStr">
        <is>
          <t>Editor opens directly.</t>
        </is>
      </c>
      <c r="J316" s="7" t="inlineStr">
        <is>
          <t>— Not tested</t>
        </is>
      </c>
      <c r="K316" s="7" t="inlineStr">
        <is>
          <t>— Not tested</t>
        </is>
      </c>
      <c r="L316" s="7" t="inlineStr">
        <is>
          <t>— Not tested</t>
        </is>
      </c>
    </row>
    <row r="317">
      <c r="A317" s="9" t="n">
        <v>316</v>
      </c>
      <c r="B317" s="9" t="inlineStr">
        <is>
          <t>3 — Trades</t>
        </is>
      </c>
      <c r="C317" s="9" t="n">
        <v>28</v>
      </c>
      <c r="D317" s="9" t="inlineStr">
        <is>
          <t>Add Trade — Source Picker</t>
        </is>
      </c>
      <c r="E317" s="7" t="inlineStr">
        <is>
          <t>Logic</t>
        </is>
      </c>
      <c r="F317" s="7" t="inlineStr">
        <is>
          <t>P2</t>
        </is>
      </c>
      <c r="G317" s="7" t="inlineStr">
        <is>
          <t>First-time warning modal → dismiss.</t>
        </is>
      </c>
      <c r="H317" s="7" t="inlineStr">
        <is>
          <t>—</t>
        </is>
      </c>
      <c r="I317" s="7" t="inlineStr">
        <is>
          <t>Editor opens.</t>
        </is>
      </c>
      <c r="J317" s="7" t="inlineStr">
        <is>
          <t>— Not tested</t>
        </is>
      </c>
      <c r="K317" s="7" t="inlineStr">
        <is>
          <t>— Not tested</t>
        </is>
      </c>
      <c r="L317" s="7" t="inlineStr">
        <is>
          <t>— Not tested</t>
        </is>
      </c>
    </row>
    <row r="318">
      <c r="A318" s="9" t="n">
        <v>317</v>
      </c>
      <c r="B318" s="9" t="inlineStr">
        <is>
          <t>3 — Trades</t>
        </is>
      </c>
      <c r="C318" s="9" t="n">
        <v>28</v>
      </c>
      <c r="D318" s="9" t="inlineStr">
        <is>
          <t>Add Trade — Source Picker</t>
        </is>
      </c>
      <c r="E318" s="7" t="inlineStr">
        <is>
          <t>Logic</t>
        </is>
      </c>
      <c r="F318" s="7" t="inlineStr">
        <is>
          <t>P2</t>
        </is>
      </c>
      <c r="G318" s="7" t="inlineStr">
        <is>
          <t>Warning 'Don't show again' → reload → Add Trade.</t>
        </is>
      </c>
      <c r="H318" s="7" t="inlineStr">
        <is>
          <t>—</t>
        </is>
      </c>
      <c r="I318" s="7" t="inlineStr">
        <is>
          <t>Modal skipped.</t>
        </is>
      </c>
      <c r="J318" s="7" t="inlineStr">
        <is>
          <t>— Not tested</t>
        </is>
      </c>
      <c r="K318" s="7" t="inlineStr">
        <is>
          <t>— Not tested</t>
        </is>
      </c>
      <c r="L318" s="7" t="inlineStr">
        <is>
          <t>— Not tested</t>
        </is>
      </c>
    </row>
    <row r="319">
      <c r="A319" s="9" t="n">
        <v>318</v>
      </c>
      <c r="B319" s="9" t="inlineStr">
        <is>
          <t>3 — Trades</t>
        </is>
      </c>
      <c r="C319" s="9" t="n">
        <v>29</v>
      </c>
      <c r="D319" s="9" t="inlineStr">
        <is>
          <t>Add Trade — Trade &amp; Risk (Normal Scenarios)</t>
        </is>
      </c>
      <c r="E319" s="7" t="inlineStr">
        <is>
          <t>Normal</t>
        </is>
      </c>
      <c r="F319" s="7" t="inlineStr">
        <is>
          <t>P0</t>
        </is>
      </c>
      <c r="G319" s="7" t="inlineStr">
        <is>
          <t>LONG win: entry 100, SL 95, TP 110, exit 110, qty 1.</t>
        </is>
      </c>
      <c r="H319" s="7" t="inlineStr">
        <is>
          <t>see left</t>
        </is>
      </c>
      <c r="I319" s="7" t="inlineStr">
        <is>
          <t>Positive P&amp;L; R ≈ 2.</t>
        </is>
      </c>
      <c r="J319" s="7" t="inlineStr">
        <is>
          <t>— Not tested</t>
        </is>
      </c>
      <c r="K319" s="7" t="inlineStr">
        <is>
          <t>— Not tested</t>
        </is>
      </c>
      <c r="L319" s="7" t="inlineStr">
        <is>
          <t>— Not tested</t>
        </is>
      </c>
    </row>
    <row r="320">
      <c r="A320" s="9" t="n">
        <v>319</v>
      </c>
      <c r="B320" s="9" t="inlineStr">
        <is>
          <t>3 — Trades</t>
        </is>
      </c>
      <c r="C320" s="9" t="n">
        <v>29</v>
      </c>
      <c r="D320" s="9" t="inlineStr">
        <is>
          <t>Add Trade — Trade &amp; Risk (Normal Scenarios)</t>
        </is>
      </c>
      <c r="E320" s="7" t="inlineStr">
        <is>
          <t>Normal</t>
        </is>
      </c>
      <c r="F320" s="7" t="inlineStr">
        <is>
          <t>P0</t>
        </is>
      </c>
      <c r="G320" s="7" t="inlineStr">
        <is>
          <t>LONG loss: exit at SL 95.</t>
        </is>
      </c>
      <c r="H320" s="7" t="inlineStr">
        <is>
          <t>—</t>
        </is>
      </c>
      <c r="I320" s="7" t="inlineStr">
        <is>
          <t>Negative P&amp;L; R ≈ -1.</t>
        </is>
      </c>
      <c r="J320" s="7" t="inlineStr">
        <is>
          <t>— Not tested</t>
        </is>
      </c>
      <c r="K320" s="7" t="inlineStr">
        <is>
          <t>— Not tested</t>
        </is>
      </c>
      <c r="L320" s="7" t="inlineStr">
        <is>
          <t>— Not tested</t>
        </is>
      </c>
    </row>
    <row r="321">
      <c r="A321" s="9" t="n">
        <v>320</v>
      </c>
      <c r="B321" s="9" t="inlineStr">
        <is>
          <t>3 — Trades</t>
        </is>
      </c>
      <c r="C321" s="9" t="n">
        <v>29</v>
      </c>
      <c r="D321" s="9" t="inlineStr">
        <is>
          <t>Add Trade — Trade &amp; Risk (Normal Scenarios)</t>
        </is>
      </c>
      <c r="E321" s="7" t="inlineStr">
        <is>
          <t>Normal</t>
        </is>
      </c>
      <c r="F321" s="7" t="inlineStr">
        <is>
          <t>P0</t>
        </is>
      </c>
      <c r="G321" s="7" t="inlineStr">
        <is>
          <t>SHORT win: entry 100, SL 105, TP 90, exit 90.</t>
        </is>
      </c>
      <c r="H321" s="7" t="inlineStr">
        <is>
          <t>—</t>
        </is>
      </c>
      <c r="I321" s="7" t="inlineStr">
        <is>
          <t>Positive P&amp;L on short.</t>
        </is>
      </c>
      <c r="J321" s="7" t="inlineStr">
        <is>
          <t>— Not tested</t>
        </is>
      </c>
      <c r="K321" s="7" t="inlineStr">
        <is>
          <t>— Not tested</t>
        </is>
      </c>
      <c r="L321" s="7" t="inlineStr">
        <is>
          <t>— Not tested</t>
        </is>
      </c>
    </row>
    <row r="322">
      <c r="A322" s="9" t="n">
        <v>321</v>
      </c>
      <c r="B322" s="9" t="inlineStr">
        <is>
          <t>3 — Trades</t>
        </is>
      </c>
      <c r="C322" s="9" t="n">
        <v>29</v>
      </c>
      <c r="D322" s="9" t="inlineStr">
        <is>
          <t>Add Trade — Trade &amp; Risk (Normal Scenarios)</t>
        </is>
      </c>
      <c r="E322" s="7" t="inlineStr">
        <is>
          <t>Normal</t>
        </is>
      </c>
      <c r="F322" s="7" t="inlineStr">
        <is>
          <t>P0</t>
        </is>
      </c>
      <c r="G322" s="7" t="inlineStr">
        <is>
          <t>SHORT loss: exit 105.</t>
        </is>
      </c>
      <c r="H322" s="7" t="inlineStr">
        <is>
          <t>—</t>
        </is>
      </c>
      <c r="I322" s="7" t="inlineStr">
        <is>
          <t>Negative P&amp;L.</t>
        </is>
      </c>
      <c r="J322" s="7" t="inlineStr">
        <is>
          <t>— Not tested</t>
        </is>
      </c>
      <c r="K322" s="7" t="inlineStr">
        <is>
          <t>— Not tested</t>
        </is>
      </c>
      <c r="L322" s="7" t="inlineStr">
        <is>
          <t>— Not tested</t>
        </is>
      </c>
    </row>
    <row r="323">
      <c r="A323" s="9" t="n">
        <v>322</v>
      </c>
      <c r="B323" s="9" t="inlineStr">
        <is>
          <t>3 — Trades</t>
        </is>
      </c>
      <c r="C323" s="9" t="n">
        <v>29</v>
      </c>
      <c r="D323" s="9" t="inlineStr">
        <is>
          <t>Add Trade — Trade &amp; Risk (Normal Scenarios)</t>
        </is>
      </c>
      <c r="E323" s="7" t="inlineStr">
        <is>
          <t>Normal</t>
        </is>
      </c>
      <c r="F323" s="7" t="inlineStr">
        <is>
          <t>P0</t>
        </is>
      </c>
      <c r="G323" s="7" t="inlineStr">
        <is>
          <t>OPEN trade: no exit rows, exit timing OFF.</t>
        </is>
      </c>
      <c r="H323" s="7" t="inlineStr">
        <is>
          <t>—</t>
        </is>
      </c>
      <c r="I323" s="7" t="inlineStr">
        <is>
          <t>Status Open; no close P&amp;L.</t>
        </is>
      </c>
      <c r="J323" s="7" t="inlineStr">
        <is>
          <t>— Not tested</t>
        </is>
      </c>
      <c r="K323" s="7" t="inlineStr">
        <is>
          <t>— Not tested</t>
        </is>
      </c>
      <c r="L323" s="7" t="inlineStr">
        <is>
          <t>— Not tested</t>
        </is>
      </c>
    </row>
    <row r="324">
      <c r="A324" s="9" t="n">
        <v>323</v>
      </c>
      <c r="B324" s="9" t="inlineStr">
        <is>
          <t>3 — Trades</t>
        </is>
      </c>
      <c r="C324" s="9" t="n">
        <v>29</v>
      </c>
      <c r="D324" s="9" t="inlineStr">
        <is>
          <t>Add Trade — Trade &amp; Risk (Normal Scenarios)</t>
        </is>
      </c>
      <c r="E324" s="7" t="inlineStr">
        <is>
          <t>Normal</t>
        </is>
      </c>
      <c r="F324" s="7" t="inlineStr">
        <is>
          <t>P1</t>
        </is>
      </c>
      <c r="G324" s="7" t="inlineStr">
        <is>
          <t>2 entry rows scale-in: 50% + 50%.</t>
        </is>
      </c>
      <c r="H324" s="7" t="inlineStr">
        <is>
          <t>2 entries</t>
        </is>
      </c>
      <c r="I324" s="7" t="inlineStr">
        <is>
          <t>Avg entry weighted correctly.</t>
        </is>
      </c>
      <c r="J324" s="7" t="inlineStr">
        <is>
          <t>— Not tested</t>
        </is>
      </c>
      <c r="K324" s="7" t="inlineStr">
        <is>
          <t>— Not tested</t>
        </is>
      </c>
      <c r="L324" s="7" t="inlineStr">
        <is>
          <t>— Not tested</t>
        </is>
      </c>
    </row>
    <row r="325">
      <c r="A325" s="9" t="n">
        <v>324</v>
      </c>
      <c r="B325" s="9" t="inlineStr">
        <is>
          <t>3 — Trades</t>
        </is>
      </c>
      <c r="C325" s="9" t="n">
        <v>29</v>
      </c>
      <c r="D325" s="9" t="inlineStr">
        <is>
          <t>Add Trade — Trade &amp; Risk (Normal Scenarios)</t>
        </is>
      </c>
      <c r="E325" s="7" t="inlineStr">
        <is>
          <t>Normal</t>
        </is>
      </c>
      <c r="F325" s="7" t="inlineStr">
        <is>
          <t>P2</t>
        </is>
      </c>
      <c r="G325" s="7" t="inlineStr">
        <is>
          <t>5 entry rows.</t>
        </is>
      </c>
      <c r="H325" s="7" t="inlineStr">
        <is>
          <t>5 entries</t>
        </is>
      </c>
      <c r="I325" s="7" t="inlineStr">
        <is>
          <t>Avg entry still calculates.</t>
        </is>
      </c>
      <c r="J325" s="7" t="inlineStr">
        <is>
          <t>— Not tested</t>
        </is>
      </c>
      <c r="K325" s="7" t="inlineStr">
        <is>
          <t>— Not tested</t>
        </is>
      </c>
      <c r="L325" s="7" t="inlineStr">
        <is>
          <t>— Not tested</t>
        </is>
      </c>
    </row>
    <row r="326">
      <c r="A326" s="9" t="n">
        <v>325</v>
      </c>
      <c r="B326" s="9" t="inlineStr">
        <is>
          <t>3 — Trades</t>
        </is>
      </c>
      <c r="C326" s="9" t="n">
        <v>29</v>
      </c>
      <c r="D326" s="9" t="inlineStr">
        <is>
          <t>Add Trade — Trade &amp; Risk (Normal Scenarios)</t>
        </is>
      </c>
      <c r="E326" s="7" t="inlineStr">
        <is>
          <t>Normal</t>
        </is>
      </c>
      <c r="F326" s="7" t="inlineStr">
        <is>
          <t>P1</t>
        </is>
      </c>
      <c r="G326" s="7" t="inlineStr">
        <is>
          <t>2 targets partial.</t>
        </is>
      </c>
      <c r="H326" s="7" t="inlineStr">
        <is>
          <t>2 TPs</t>
        </is>
      </c>
      <c r="I326" s="7" t="inlineStr">
        <is>
          <t>Planned R uses blended target.</t>
        </is>
      </c>
      <c r="J326" s="7" t="inlineStr">
        <is>
          <t>— Not tested</t>
        </is>
      </c>
      <c r="K326" s="7" t="inlineStr">
        <is>
          <t>— Not tested</t>
        </is>
      </c>
      <c r="L326" s="7" t="inlineStr">
        <is>
          <t>— Not tested</t>
        </is>
      </c>
    </row>
    <row r="327">
      <c r="A327" s="9" t="n">
        <v>326</v>
      </c>
      <c r="B327" s="9" t="inlineStr">
        <is>
          <t>3 — Trades</t>
        </is>
      </c>
      <c r="C327" s="9" t="n">
        <v>29</v>
      </c>
      <c r="D327" s="9" t="inlineStr">
        <is>
          <t>Add Trade — Trade &amp; Risk (Normal Scenarios)</t>
        </is>
      </c>
      <c r="E327" s="7" t="inlineStr">
        <is>
          <t>Normal</t>
        </is>
      </c>
      <c r="F327" s="7" t="inlineStr">
        <is>
          <t>P1</t>
        </is>
      </c>
      <c r="G327" s="7" t="inlineStr">
        <is>
          <t>2 exit rows partial close.</t>
        </is>
      </c>
      <c r="H327" s="7" t="inlineStr">
        <is>
          <t>50% + 50%</t>
        </is>
      </c>
      <c r="I327" s="7" t="inlineStr">
        <is>
          <t>Exited size matches.</t>
        </is>
      </c>
      <c r="J327" s="7" t="inlineStr">
        <is>
          <t>— Not tested</t>
        </is>
      </c>
      <c r="K327" s="7" t="inlineStr">
        <is>
          <t>— Not tested</t>
        </is>
      </c>
      <c r="L327" s="7" t="inlineStr">
        <is>
          <t>— Not tested</t>
        </is>
      </c>
    </row>
    <row r="328">
      <c r="A328" s="9" t="n">
        <v>327</v>
      </c>
      <c r="B328" s="9" t="inlineStr">
        <is>
          <t>3 — Trades</t>
        </is>
      </c>
      <c r="C328" s="9" t="n">
        <v>29</v>
      </c>
      <c r="D328" s="9" t="inlineStr">
        <is>
          <t>Add Trade — Trade &amp; Risk (Normal Scenarios)</t>
        </is>
      </c>
      <c r="E328" s="7" t="inlineStr">
        <is>
          <t>Normal</t>
        </is>
      </c>
      <c r="F328" s="7" t="inlineStr">
        <is>
          <t>P1</t>
        </is>
      </c>
      <c r="G328" s="7" t="inlineStr">
        <is>
          <t>Commission 5.00 on round trip.</t>
        </is>
      </c>
      <c r="H328" s="7" t="inlineStr">
        <is>
          <t>$5</t>
        </is>
      </c>
      <c r="I328" s="7" t="inlineStr">
        <is>
          <t>Net P&amp;L reduced by commission.</t>
        </is>
      </c>
      <c r="J328" s="7" t="inlineStr">
        <is>
          <t>— Not tested</t>
        </is>
      </c>
      <c r="K328" s="7" t="inlineStr">
        <is>
          <t>— Not tested</t>
        </is>
      </c>
      <c r="L328" s="7" t="inlineStr">
        <is>
          <t>— Not tested</t>
        </is>
      </c>
    </row>
    <row r="329">
      <c r="A329" s="9" t="n">
        <v>328</v>
      </c>
      <c r="B329" s="9" t="inlineStr">
        <is>
          <t>3 — Trades</t>
        </is>
      </c>
      <c r="C329" s="9" t="n">
        <v>29</v>
      </c>
      <c r="D329" s="9" t="inlineStr">
        <is>
          <t>Add Trade — Trade &amp; Risk (Normal Scenarios)</t>
        </is>
      </c>
      <c r="E329" s="7" t="inlineStr">
        <is>
          <t>Normal</t>
        </is>
      </c>
      <c r="F329" s="7" t="inlineStr">
        <is>
          <t>P2</t>
        </is>
      </c>
      <c r="G329" s="7" t="inlineStr">
        <is>
          <t>Spread 2 pips.</t>
        </is>
      </c>
      <c r="H329" s="7" t="inlineStr">
        <is>
          <t>2</t>
        </is>
      </c>
      <c r="I329" s="7" t="inlineStr">
        <is>
          <t>Affects fill prices.</t>
        </is>
      </c>
      <c r="J329" s="7" t="inlineStr">
        <is>
          <t>— Not tested</t>
        </is>
      </c>
      <c r="K329" s="7" t="inlineStr">
        <is>
          <t>— Not tested</t>
        </is>
      </c>
      <c r="L329" s="7" t="inlineStr">
        <is>
          <t>— Not tested</t>
        </is>
      </c>
    </row>
    <row r="330">
      <c r="A330" s="9" t="n">
        <v>329</v>
      </c>
      <c r="B330" s="9" t="inlineStr">
        <is>
          <t>3 — Trades</t>
        </is>
      </c>
      <c r="C330" s="9" t="n">
        <v>30</v>
      </c>
      <c r="D330" s="9" t="inlineStr">
        <is>
          <t>Add Trade — Field Input Extremes</t>
        </is>
      </c>
      <c r="E330" s="7" t="inlineStr">
        <is>
          <t>Extreme</t>
        </is>
      </c>
      <c r="F330" s="7" t="inlineStr">
        <is>
          <t>P2</t>
        </is>
      </c>
      <c r="G330" s="7" t="inlineStr">
        <is>
          <t>Entry price 0.00001 (micro).</t>
        </is>
      </c>
      <c r="H330" s="7" t="inlineStr">
        <is>
          <t>micro price</t>
        </is>
      </c>
      <c r="I330" s="7" t="inlineStr">
        <is>
          <t>Accepts if &gt;0.</t>
        </is>
      </c>
      <c r="J330" s="7" t="inlineStr">
        <is>
          <t>— Not tested</t>
        </is>
      </c>
      <c r="K330" s="7" t="inlineStr">
        <is>
          <t>— Not tested</t>
        </is>
      </c>
      <c r="L330" s="7" t="inlineStr">
        <is>
          <t>— Not tested</t>
        </is>
      </c>
    </row>
    <row r="331">
      <c r="A331" s="9" t="n">
        <v>330</v>
      </c>
      <c r="B331" s="9" t="inlineStr">
        <is>
          <t>3 — Trades</t>
        </is>
      </c>
      <c r="C331" s="9" t="n">
        <v>30</v>
      </c>
      <c r="D331" s="9" t="inlineStr">
        <is>
          <t>Add Trade — Field Input Extremes</t>
        </is>
      </c>
      <c r="E331" s="7" t="inlineStr">
        <is>
          <t>Extreme</t>
        </is>
      </c>
      <c r="F331" s="7" t="inlineStr">
        <is>
          <t>P2</t>
        </is>
      </c>
      <c r="G331" s="7" t="inlineStr">
        <is>
          <t>Entry price 999999.</t>
        </is>
      </c>
      <c r="H331" s="7" t="inlineStr">
        <is>
          <t>huge price</t>
        </is>
      </c>
      <c r="I331" s="7" t="inlineStr">
        <is>
          <t>Accepts; preview scales.</t>
        </is>
      </c>
      <c r="J331" s="7" t="inlineStr">
        <is>
          <t>— Not tested</t>
        </is>
      </c>
      <c r="K331" s="7" t="inlineStr">
        <is>
          <t>— Not tested</t>
        </is>
      </c>
      <c r="L331" s="7" t="inlineStr">
        <is>
          <t>— Not tested</t>
        </is>
      </c>
    </row>
    <row r="332">
      <c r="A332" s="9" t="n">
        <v>331</v>
      </c>
      <c r="B332" s="9" t="inlineStr">
        <is>
          <t>3 — Trades</t>
        </is>
      </c>
      <c r="C332" s="9" t="n">
        <v>30</v>
      </c>
      <c r="D332" s="9" t="inlineStr">
        <is>
          <t>Add Trade — Field Input Extremes</t>
        </is>
      </c>
      <c r="E332" s="7" t="inlineStr">
        <is>
          <t>Extreme</t>
        </is>
      </c>
      <c r="F332" s="7" t="inlineStr">
        <is>
          <t>P1</t>
        </is>
      </c>
      <c r="G332" s="7" t="inlineStr">
        <is>
          <t>Qty 0.01 lots (min).</t>
        </is>
      </c>
      <c r="H332" s="7" t="inlineStr">
        <is>
          <t>0.01</t>
        </is>
      </c>
      <c r="I332" s="7" t="inlineStr">
        <is>
          <t>Accepts.</t>
        </is>
      </c>
      <c r="J332" s="7" t="inlineStr">
        <is>
          <t>— Not tested</t>
        </is>
      </c>
      <c r="K332" s="7" t="inlineStr">
        <is>
          <t>— Not tested</t>
        </is>
      </c>
      <c r="L332" s="7" t="inlineStr">
        <is>
          <t>— Not tested</t>
        </is>
      </c>
    </row>
    <row r="333">
      <c r="A333" s="9" t="n">
        <v>332</v>
      </c>
      <c r="B333" s="9" t="inlineStr">
        <is>
          <t>3 — Trades</t>
        </is>
      </c>
      <c r="C333" s="9" t="n">
        <v>30</v>
      </c>
      <c r="D333" s="9" t="inlineStr">
        <is>
          <t>Add Trade — Field Input Extremes</t>
        </is>
      </c>
      <c r="E333" s="7" t="inlineStr">
        <is>
          <t>Extreme</t>
        </is>
      </c>
      <c r="F333" s="7" t="inlineStr">
        <is>
          <t>P2</t>
        </is>
      </c>
      <c r="G333" s="7" t="inlineStr">
        <is>
          <t>Qty 100 lots.</t>
        </is>
      </c>
      <c r="H333" s="7" t="inlineStr">
        <is>
          <t>100</t>
        </is>
      </c>
      <c r="I333" s="7" t="inlineStr">
        <is>
          <t>Accepts; risk preview updates.</t>
        </is>
      </c>
      <c r="J333" s="7" t="inlineStr">
        <is>
          <t>— Not tested</t>
        </is>
      </c>
      <c r="K333" s="7" t="inlineStr">
        <is>
          <t>— Not tested</t>
        </is>
      </c>
      <c r="L333" s="7" t="inlineStr">
        <is>
          <t>— Not tested</t>
        </is>
      </c>
    </row>
    <row r="334">
      <c r="A334" s="9" t="n">
        <v>333</v>
      </c>
      <c r="B334" s="9" t="inlineStr">
        <is>
          <t>3 — Trades</t>
        </is>
      </c>
      <c r="C334" s="9" t="n">
        <v>30</v>
      </c>
      <c r="D334" s="9" t="inlineStr">
        <is>
          <t>Add Trade — Field Input Extremes</t>
        </is>
      </c>
      <c r="E334" s="7" t="inlineStr">
        <is>
          <t>Extreme</t>
        </is>
      </c>
      <c r="F334" s="7" t="inlineStr">
        <is>
          <t>P0</t>
        </is>
      </c>
      <c r="G334" s="7" t="inlineStr">
        <is>
          <t>Qty 0.</t>
        </is>
      </c>
      <c r="H334" s="7" t="inlineStr">
        <is>
          <t>0</t>
        </is>
      </c>
      <c r="I334" s="7" t="inlineStr">
        <is>
          <t>Blocked.</t>
        </is>
      </c>
      <c r="J334" s="7" t="inlineStr">
        <is>
          <t>— Not tested</t>
        </is>
      </c>
      <c r="K334" s="7" t="inlineStr">
        <is>
          <t>— Not tested</t>
        </is>
      </c>
      <c r="L334" s="7" t="inlineStr">
        <is>
          <t>— Not tested</t>
        </is>
      </c>
    </row>
    <row r="335">
      <c r="A335" s="9" t="n">
        <v>334</v>
      </c>
      <c r="B335" s="9" t="inlineStr">
        <is>
          <t>3 — Trades</t>
        </is>
      </c>
      <c r="C335" s="9" t="n">
        <v>30</v>
      </c>
      <c r="D335" s="9" t="inlineStr">
        <is>
          <t>Add Trade — Field Input Extremes</t>
        </is>
      </c>
      <c r="E335" s="7" t="inlineStr">
        <is>
          <t>Extreme</t>
        </is>
      </c>
      <c r="F335" s="7" t="inlineStr">
        <is>
          <t>P0</t>
        </is>
      </c>
      <c r="G335" s="7" t="inlineStr">
        <is>
          <t>Qty negative.</t>
        </is>
      </c>
      <c r="H335" s="7" t="inlineStr">
        <is>
          <t>-1</t>
        </is>
      </c>
      <c r="I335" s="7" t="inlineStr">
        <is>
          <t>Blocked.</t>
        </is>
      </c>
      <c r="J335" s="7" t="inlineStr">
        <is>
          <t>— Not tested</t>
        </is>
      </c>
      <c r="K335" s="7" t="inlineStr">
        <is>
          <t>— Not tested</t>
        </is>
      </c>
      <c r="L335" s="7" t="inlineStr">
        <is>
          <t>— Not tested</t>
        </is>
      </c>
    </row>
    <row r="336">
      <c r="A336" s="9" t="n">
        <v>335</v>
      </c>
      <c r="B336" s="9" t="inlineStr">
        <is>
          <t>3 — Trades</t>
        </is>
      </c>
      <c r="C336" s="9" t="n">
        <v>30</v>
      </c>
      <c r="D336" s="9" t="inlineStr">
        <is>
          <t>Add Trade — Field Input Extremes</t>
        </is>
      </c>
      <c r="E336" s="7" t="inlineStr">
        <is>
          <t>Extreme</t>
        </is>
      </c>
      <c r="F336" s="7" t="inlineStr">
        <is>
          <t>P0</t>
        </is>
      </c>
      <c r="G336" s="7" t="inlineStr">
        <is>
          <t>Stop loss = 0.</t>
        </is>
      </c>
      <c r="H336" s="7" t="inlineStr">
        <is>
          <t>0</t>
        </is>
      </c>
      <c r="I336" s="7" t="inlineStr">
        <is>
          <t>Blocked.</t>
        </is>
      </c>
      <c r="J336" s="7" t="inlineStr">
        <is>
          <t>— Not tested</t>
        </is>
      </c>
      <c r="K336" s="7" t="inlineStr">
        <is>
          <t>— Not tested</t>
        </is>
      </c>
      <c r="L336" s="7" t="inlineStr">
        <is>
          <t>— Not tested</t>
        </is>
      </c>
    </row>
    <row r="337">
      <c r="A337" s="9" t="n">
        <v>336</v>
      </c>
      <c r="B337" s="9" t="inlineStr">
        <is>
          <t>3 — Trades</t>
        </is>
      </c>
      <c r="C337" s="9" t="n">
        <v>30</v>
      </c>
      <c r="D337" s="9" t="inlineStr">
        <is>
          <t>Add Trade — Field Input Extremes</t>
        </is>
      </c>
      <c r="E337" s="7" t="inlineStr">
        <is>
          <t>Extreme</t>
        </is>
      </c>
      <c r="F337" s="7" t="inlineStr">
        <is>
          <t>P0</t>
        </is>
      </c>
      <c r="G337" s="7" t="inlineStr">
        <is>
          <t>Stop loss negative.</t>
        </is>
      </c>
      <c r="H337" s="7" t="inlineStr">
        <is>
          <t>-5</t>
        </is>
      </c>
      <c r="I337" s="7" t="inlineStr">
        <is>
          <t>Blocked.</t>
        </is>
      </c>
      <c r="J337" s="7" t="inlineStr">
        <is>
          <t>— Not tested</t>
        </is>
      </c>
      <c r="K337" s="7" t="inlineStr">
        <is>
          <t>— Not tested</t>
        </is>
      </c>
      <c r="L337" s="7" t="inlineStr">
        <is>
          <t>— Not tested</t>
        </is>
      </c>
    </row>
    <row r="338">
      <c r="A338" s="9" t="n">
        <v>337</v>
      </c>
      <c r="B338" s="9" t="inlineStr">
        <is>
          <t>3 — Trades</t>
        </is>
      </c>
      <c r="C338" s="9" t="n">
        <v>31</v>
      </c>
      <c r="D338" s="9" t="inlineStr">
        <is>
          <t>Add Trade — Validation Errors</t>
        </is>
      </c>
      <c r="E338" s="7" t="inlineStr">
        <is>
          <t>Logic</t>
        </is>
      </c>
      <c r="F338" s="7" t="inlineStr">
        <is>
          <t>P0</t>
        </is>
      </c>
      <c r="G338" s="7" t="inlineStr">
        <is>
          <t>Symbol not in source instrument list.</t>
        </is>
      </c>
      <c r="H338" s="7" t="inlineStr">
        <is>
          <t>GBPUSD on NQ-only session</t>
        </is>
      </c>
      <c r="I338" s="7" t="inlineStr">
        <is>
          <t>Error: instrument must belong to source.</t>
        </is>
      </c>
      <c r="J338" s="7" t="inlineStr">
        <is>
          <t>— Not tested</t>
        </is>
      </c>
      <c r="K338" s="7" t="inlineStr">
        <is>
          <t>— Not tested</t>
        </is>
      </c>
      <c r="L338" s="7" t="inlineStr">
        <is>
          <t>— Not tested</t>
        </is>
      </c>
    </row>
    <row r="339">
      <c r="A339" s="9" t="n">
        <v>338</v>
      </c>
      <c r="B339" s="9" t="inlineStr">
        <is>
          <t>3 — Trades</t>
        </is>
      </c>
      <c r="C339" s="9" t="n">
        <v>31</v>
      </c>
      <c r="D339" s="9" t="inlineStr">
        <is>
          <t>Add Trade — Validation Errors</t>
        </is>
      </c>
      <c r="E339" s="7" t="inlineStr">
        <is>
          <t>Logic</t>
        </is>
      </c>
      <c r="F339" s="7" t="inlineStr">
        <is>
          <t>P0</t>
        </is>
      </c>
      <c r="G339" s="7" t="inlineStr">
        <is>
          <t>Journal backtest trade without strategy/setup.</t>
        </is>
      </c>
      <c r="H339" s="7" t="inlineStr">
        <is>
          <t>empty setup</t>
        </is>
      </c>
      <c r="I339" s="7" t="inlineStr">
        <is>
          <t>Error: choose strategy.</t>
        </is>
      </c>
      <c r="J339" s="7" t="inlineStr">
        <is>
          <t>— Not tested</t>
        </is>
      </c>
      <c r="K339" s="7" t="inlineStr">
        <is>
          <t>— Not tested</t>
        </is>
      </c>
      <c r="L339" s="7" t="inlineStr">
        <is>
          <t>— Not tested</t>
        </is>
      </c>
    </row>
    <row r="340">
      <c r="A340" s="9" t="n">
        <v>339</v>
      </c>
      <c r="B340" s="9" t="inlineStr">
        <is>
          <t>3 — Trades</t>
        </is>
      </c>
      <c r="C340" s="9" t="n">
        <v>31</v>
      </c>
      <c r="D340" s="9" t="inlineStr">
        <is>
          <t>Add Trade — Validation Errors</t>
        </is>
      </c>
      <c r="E340" s="7" t="inlineStr">
        <is>
          <t>Logic</t>
        </is>
      </c>
      <c r="F340" s="7" t="inlineStr">
        <is>
          <t>P0</t>
        </is>
      </c>
      <c r="G340" s="7" t="inlineStr">
        <is>
          <t>Missing entry date/time.</t>
        </is>
      </c>
      <c r="H340" s="7" t="inlineStr">
        <is>
          <t>empty</t>
        </is>
      </c>
      <c r="I340" s="7" t="inlineStr">
        <is>
          <t>Error: entry date and time required.</t>
        </is>
      </c>
      <c r="J340" s="7" t="inlineStr">
        <is>
          <t>— Not tested</t>
        </is>
      </c>
      <c r="K340" s="7" t="inlineStr">
        <is>
          <t>— Not tested</t>
        </is>
      </c>
      <c r="L340" s="7" t="inlineStr">
        <is>
          <t>— Not tested</t>
        </is>
      </c>
    </row>
    <row r="341">
      <c r="A341" s="9" t="n">
        <v>340</v>
      </c>
      <c r="B341" s="9" t="inlineStr">
        <is>
          <t>3 — Trades</t>
        </is>
      </c>
      <c r="C341" s="9" t="n">
        <v>31</v>
      </c>
      <c r="D341" s="9" t="inlineStr">
        <is>
          <t>Add Trade — Validation Errors</t>
        </is>
      </c>
      <c r="E341" s="7" t="inlineStr">
        <is>
          <t>Logic</t>
        </is>
      </c>
      <c r="F341" s="7" t="inlineStr">
        <is>
          <t>P0</t>
        </is>
      </c>
      <c r="G341" s="7" t="inlineStr">
        <is>
          <t>Entry date before session start.</t>
        </is>
      </c>
      <c r="H341" s="7" t="inlineStr">
        <is>
          <t>before range</t>
        </is>
      </c>
      <c r="I341" s="7" t="inlineStr">
        <is>
          <t>Error: within session range.</t>
        </is>
      </c>
      <c r="J341" s="7" t="inlineStr">
        <is>
          <t>— Not tested</t>
        </is>
      </c>
      <c r="K341" s="7" t="inlineStr">
        <is>
          <t>— Not tested</t>
        </is>
      </c>
      <c r="L341" s="7" t="inlineStr">
        <is>
          <t>— Not tested</t>
        </is>
      </c>
    </row>
    <row r="342">
      <c r="A342" s="9" t="n">
        <v>341</v>
      </c>
      <c r="B342" s="9" t="inlineStr">
        <is>
          <t>3 — Trades</t>
        </is>
      </c>
      <c r="C342" s="9" t="n">
        <v>31</v>
      </c>
      <c r="D342" s="9" t="inlineStr">
        <is>
          <t>Add Trade — Validation Errors</t>
        </is>
      </c>
      <c r="E342" s="7" t="inlineStr">
        <is>
          <t>Logic</t>
        </is>
      </c>
      <c r="F342" s="7" t="inlineStr">
        <is>
          <t>P0</t>
        </is>
      </c>
      <c r="G342" s="7" t="inlineStr">
        <is>
          <t>Entry date after session end.</t>
        </is>
      </c>
      <c r="H342" s="7" t="inlineStr">
        <is>
          <t>after range</t>
        </is>
      </c>
      <c r="I342" s="7" t="inlineStr">
        <is>
          <t>Error: within session range.</t>
        </is>
      </c>
      <c r="J342" s="7" t="inlineStr">
        <is>
          <t>— Not tested</t>
        </is>
      </c>
      <c r="K342" s="7" t="inlineStr">
        <is>
          <t>— Not tested</t>
        </is>
      </c>
      <c r="L342" s="7" t="inlineStr">
        <is>
          <t>— Not tested</t>
        </is>
      </c>
    </row>
    <row r="343">
      <c r="A343" s="9" t="n">
        <v>342</v>
      </c>
      <c r="B343" s="9" t="inlineStr">
        <is>
          <t>3 — Trades</t>
        </is>
      </c>
      <c r="C343" s="9" t="n">
        <v>31</v>
      </c>
      <c r="D343" s="9" t="inlineStr">
        <is>
          <t>Add Trade — Validation Errors</t>
        </is>
      </c>
      <c r="E343" s="7" t="inlineStr">
        <is>
          <t>Logic</t>
        </is>
      </c>
      <c r="F343" s="7" t="inlineStr">
        <is>
          <t>P0</t>
        </is>
      </c>
      <c r="G343" s="7" t="inlineStr">
        <is>
          <t>Live journal entry date tomorrow.</t>
        </is>
      </c>
      <c r="H343" s="7" t="inlineStr">
        <is>
          <t>future date</t>
        </is>
      </c>
      <c r="I343" s="7" t="inlineStr">
        <is>
          <t>Error: cannot be in future.</t>
        </is>
      </c>
      <c r="J343" s="7" t="inlineStr">
        <is>
          <t>— Not tested</t>
        </is>
      </c>
      <c r="K343" s="7" t="inlineStr">
        <is>
          <t>— Not tested</t>
        </is>
      </c>
      <c r="L343" s="7" t="inlineStr">
        <is>
          <t>— Not tested</t>
        </is>
      </c>
    </row>
    <row r="344">
      <c r="A344" s="9" t="n">
        <v>343</v>
      </c>
      <c r="B344" s="9" t="inlineStr">
        <is>
          <t>3 — Trades</t>
        </is>
      </c>
      <c r="C344" s="9" t="n">
        <v>31</v>
      </c>
      <c r="D344" s="9" t="inlineStr">
        <is>
          <t>Add Trade — Validation Errors</t>
        </is>
      </c>
      <c r="E344" s="7" t="inlineStr">
        <is>
          <t>Logic</t>
        </is>
      </c>
      <c r="F344" s="7" t="inlineStr">
        <is>
          <t>P0</t>
        </is>
      </c>
      <c r="G344" s="7" t="inlineStr">
        <is>
          <t>Backtest entry datetime in future.</t>
        </is>
      </c>
      <c r="H344" s="7" t="inlineStr">
        <is>
          <t>future datetime</t>
        </is>
      </c>
      <c r="I344" s="7" t="inlineStr">
        <is>
          <t>Error: cannot be in future.</t>
        </is>
      </c>
      <c r="J344" s="7" t="inlineStr">
        <is>
          <t>— Not tested</t>
        </is>
      </c>
      <c r="K344" s="7" t="inlineStr">
        <is>
          <t>— Not tested</t>
        </is>
      </c>
      <c r="L344" s="7" t="inlineStr">
        <is>
          <t>— Not tested</t>
        </is>
      </c>
    </row>
    <row r="345">
      <c r="A345" s="9" t="n">
        <v>344</v>
      </c>
      <c r="B345" s="9" t="inlineStr">
        <is>
          <t>3 — Trades</t>
        </is>
      </c>
      <c r="C345" s="9" t="n">
        <v>31</v>
      </c>
      <c r="D345" s="9" t="inlineStr">
        <is>
          <t>Add Trade — Validation Errors</t>
        </is>
      </c>
      <c r="E345" s="7" t="inlineStr">
        <is>
          <t>Logic</t>
        </is>
      </c>
      <c r="F345" s="7" t="inlineStr">
        <is>
          <t>P0</t>
        </is>
      </c>
      <c r="G345" s="7" t="inlineStr">
        <is>
          <t>Entry row price=0.</t>
        </is>
      </c>
      <c r="H345" s="7" t="inlineStr">
        <is>
          <t>0</t>
        </is>
      </c>
      <c r="I345" s="7" t="inlineStr">
        <is>
          <t>Error: price and size &gt; 0.</t>
        </is>
      </c>
      <c r="J345" s="7" t="inlineStr">
        <is>
          <t>— Not tested</t>
        </is>
      </c>
      <c r="K345" s="7" t="inlineStr">
        <is>
          <t>— Not tested</t>
        </is>
      </c>
      <c r="L345" s="7" t="inlineStr">
        <is>
          <t>— Not tested</t>
        </is>
      </c>
    </row>
    <row r="346">
      <c r="A346" s="9" t="n">
        <v>345</v>
      </c>
      <c r="B346" s="9" t="inlineStr">
        <is>
          <t>3 — Trades</t>
        </is>
      </c>
      <c r="C346" s="9" t="n">
        <v>31</v>
      </c>
      <c r="D346" s="9" t="inlineStr">
        <is>
          <t>Add Trade — Validation Errors</t>
        </is>
      </c>
      <c r="E346" s="7" t="inlineStr">
        <is>
          <t>Logic</t>
        </is>
      </c>
      <c r="F346" s="7" t="inlineStr">
        <is>
          <t>P0</t>
        </is>
      </c>
      <c r="G346" s="7" t="inlineStr">
        <is>
          <t>Entry row qty=0.</t>
        </is>
      </c>
      <c r="H346" s="7" t="inlineStr">
        <is>
          <t>0</t>
        </is>
      </c>
      <c r="I346" s="7" t="inlineStr">
        <is>
          <t>Error: price and size &gt; 0.</t>
        </is>
      </c>
      <c r="J346" s="7" t="inlineStr">
        <is>
          <t>— Not tested</t>
        </is>
      </c>
      <c r="K346" s="7" t="inlineStr">
        <is>
          <t>— Not tested</t>
        </is>
      </c>
      <c r="L346" s="7" t="inlineStr">
        <is>
          <t>— Not tested</t>
        </is>
      </c>
    </row>
    <row r="347">
      <c r="A347" s="9" t="n">
        <v>346</v>
      </c>
      <c r="B347" s="9" t="inlineStr">
        <is>
          <t>3 — Trades</t>
        </is>
      </c>
      <c r="C347" s="9" t="n">
        <v>31</v>
      </c>
      <c r="D347" s="9" t="inlineStr">
        <is>
          <t>Add Trade — Validation Errors</t>
        </is>
      </c>
      <c r="E347" s="7" t="inlineStr">
        <is>
          <t>Logic</t>
        </is>
      </c>
      <c r="F347" s="7" t="inlineStr">
        <is>
          <t>P0</t>
        </is>
      </c>
      <c r="G347" s="7" t="inlineStr">
        <is>
          <t>Missing stop loss.</t>
        </is>
      </c>
      <c r="H347" s="7" t="inlineStr">
        <is>
          <t>empty SL</t>
        </is>
      </c>
      <c r="I347" s="7" t="inlineStr">
        <is>
          <t>Error: SL required.</t>
        </is>
      </c>
      <c r="J347" s="7" t="inlineStr">
        <is>
          <t>— Not tested</t>
        </is>
      </c>
      <c r="K347" s="7" t="inlineStr">
        <is>
          <t>— Not tested</t>
        </is>
      </c>
      <c r="L347" s="7" t="inlineStr">
        <is>
          <t>— Not tested</t>
        </is>
      </c>
    </row>
    <row r="348">
      <c r="A348" s="9" t="n">
        <v>347</v>
      </c>
      <c r="B348" s="9" t="inlineStr">
        <is>
          <t>3 — Trades</t>
        </is>
      </c>
      <c r="C348" s="9" t="n">
        <v>31</v>
      </c>
      <c r="D348" s="9" t="inlineStr">
        <is>
          <t>Add Trade — Validation Errors</t>
        </is>
      </c>
      <c r="E348" s="7" t="inlineStr">
        <is>
          <t>Logic</t>
        </is>
      </c>
      <c r="F348" s="7" t="inlineStr">
        <is>
          <t>P0</t>
        </is>
      </c>
      <c r="G348" s="7" t="inlineStr">
        <is>
          <t>LONG SL above entry.</t>
        </is>
      </c>
      <c r="H348" s="7" t="inlineStr">
        <is>
          <t>SL&gt;entry</t>
        </is>
      </c>
      <c r="I348" s="7" t="inlineStr">
        <is>
          <t>Error: SL below entries.</t>
        </is>
      </c>
      <c r="J348" s="7" t="inlineStr">
        <is>
          <t>— Not tested</t>
        </is>
      </c>
      <c r="K348" s="7" t="inlineStr">
        <is>
          <t>— Not tested</t>
        </is>
      </c>
      <c r="L348" s="7" t="inlineStr">
        <is>
          <t>— Not tested</t>
        </is>
      </c>
    </row>
    <row r="349">
      <c r="A349" s="9" t="n">
        <v>348</v>
      </c>
      <c r="B349" s="9" t="inlineStr">
        <is>
          <t>3 — Trades</t>
        </is>
      </c>
      <c r="C349" s="9" t="n">
        <v>31</v>
      </c>
      <c r="D349" s="9" t="inlineStr">
        <is>
          <t>Add Trade — Validation Errors</t>
        </is>
      </c>
      <c r="E349" s="7" t="inlineStr">
        <is>
          <t>Logic</t>
        </is>
      </c>
      <c r="F349" s="7" t="inlineStr">
        <is>
          <t>P0</t>
        </is>
      </c>
      <c r="G349" s="7" t="inlineStr">
        <is>
          <t>SHORT SL below entry.</t>
        </is>
      </c>
      <c r="H349" s="7" t="inlineStr">
        <is>
          <t>SL&lt;entry</t>
        </is>
      </c>
      <c r="I349" s="7" t="inlineStr">
        <is>
          <t>Error: SL above entries.</t>
        </is>
      </c>
      <c r="J349" s="7" t="inlineStr">
        <is>
          <t>— Not tested</t>
        </is>
      </c>
      <c r="K349" s="7" t="inlineStr">
        <is>
          <t>— Not tested</t>
        </is>
      </c>
      <c r="L349" s="7" t="inlineStr">
        <is>
          <t>— Not tested</t>
        </is>
      </c>
    </row>
    <row r="350">
      <c r="A350" s="9" t="n">
        <v>349</v>
      </c>
      <c r="B350" s="9" t="inlineStr">
        <is>
          <t>3 — Trades</t>
        </is>
      </c>
      <c r="C350" s="9" t="n">
        <v>31</v>
      </c>
      <c r="D350" s="9" t="inlineStr">
        <is>
          <t>Add Trade — Validation Errors</t>
        </is>
      </c>
      <c r="E350" s="7" t="inlineStr">
        <is>
          <t>Logic</t>
        </is>
      </c>
      <c r="F350" s="7" t="inlineStr">
        <is>
          <t>P0</t>
        </is>
      </c>
      <c r="G350" s="7" t="inlineStr">
        <is>
          <t>LONG target below entry.</t>
        </is>
      </c>
      <c r="H350" s="7" t="inlineStr">
        <is>
          <t>TP&lt;entry</t>
        </is>
      </c>
      <c r="I350" s="7" t="inlineStr">
        <is>
          <t>Error: targets above entries.</t>
        </is>
      </c>
      <c r="J350" s="7" t="inlineStr">
        <is>
          <t>— Not tested</t>
        </is>
      </c>
      <c r="K350" s="7" t="inlineStr">
        <is>
          <t>— Not tested</t>
        </is>
      </c>
      <c r="L350" s="7" t="inlineStr">
        <is>
          <t>— Not tested</t>
        </is>
      </c>
    </row>
    <row r="351">
      <c r="A351" s="9" t="n">
        <v>350</v>
      </c>
      <c r="B351" s="9" t="inlineStr">
        <is>
          <t>3 — Trades</t>
        </is>
      </c>
      <c r="C351" s="9" t="n">
        <v>31</v>
      </c>
      <c r="D351" s="9" t="inlineStr">
        <is>
          <t>Add Trade — Validation Errors</t>
        </is>
      </c>
      <c r="E351" s="7" t="inlineStr">
        <is>
          <t>Logic</t>
        </is>
      </c>
      <c r="F351" s="7" t="inlineStr">
        <is>
          <t>P0</t>
        </is>
      </c>
      <c r="G351" s="7" t="inlineStr">
        <is>
          <t>SHORT target above entry.</t>
        </is>
      </c>
      <c r="H351" s="7" t="inlineStr">
        <is>
          <t>TP&gt;entry</t>
        </is>
      </c>
      <c r="I351" s="7" t="inlineStr">
        <is>
          <t>Error: targets below entries.</t>
        </is>
      </c>
      <c r="J351" s="7" t="inlineStr">
        <is>
          <t>— Not tested</t>
        </is>
      </c>
      <c r="K351" s="7" t="inlineStr">
        <is>
          <t>— Not tested</t>
        </is>
      </c>
      <c r="L351" s="7" t="inlineStr">
        <is>
          <t>— Not tested</t>
        </is>
      </c>
    </row>
    <row r="352">
      <c r="A352" s="9" t="n">
        <v>351</v>
      </c>
      <c r="B352" s="9" t="inlineStr">
        <is>
          <t>3 — Trades</t>
        </is>
      </c>
      <c r="C352" s="9" t="n">
        <v>31</v>
      </c>
      <c r="D352" s="9" t="inlineStr">
        <is>
          <t>Add Trade — Validation Errors</t>
        </is>
      </c>
      <c r="E352" s="7" t="inlineStr">
        <is>
          <t>Logic</t>
        </is>
      </c>
      <c r="F352" s="7" t="inlineStr">
        <is>
          <t>P0</t>
        </is>
      </c>
      <c r="G352" s="7" t="inlineStr">
        <is>
          <t>Exit size &gt; entry size.</t>
        </is>
      </c>
      <c r="H352" s="7" t="inlineStr">
        <is>
          <t>exit&gt;entry</t>
        </is>
      </c>
      <c r="I352" s="7" t="inlineStr">
        <is>
          <t>Error: exited size exceeds entered.</t>
        </is>
      </c>
      <c r="J352" s="7" t="inlineStr">
        <is>
          <t>— Not tested</t>
        </is>
      </c>
      <c r="K352" s="7" t="inlineStr">
        <is>
          <t>— Not tested</t>
        </is>
      </c>
      <c r="L352" s="7" t="inlineStr">
        <is>
          <t>— Not tested</t>
        </is>
      </c>
    </row>
    <row r="353">
      <c r="A353" s="9" t="n">
        <v>352</v>
      </c>
      <c r="B353" s="9" t="inlineStr">
        <is>
          <t>3 — Trades</t>
        </is>
      </c>
      <c r="C353" s="9" t="n">
        <v>31</v>
      </c>
      <c r="D353" s="9" t="inlineStr">
        <is>
          <t>Add Trade — Validation Errors</t>
        </is>
      </c>
      <c r="E353" s="7" t="inlineStr">
        <is>
          <t>Logic</t>
        </is>
      </c>
      <c r="F353" s="7" t="inlineStr">
        <is>
          <t>P1</t>
        </is>
      </c>
      <c r="G353" s="7" t="inlineStr">
        <is>
          <t>Exit rows without exit timing ON.</t>
        </is>
      </c>
      <c r="H353" s="7" t="inlineStr">
        <is>
          <t>exits only</t>
        </is>
      </c>
      <c r="I353" s="7" t="inlineStr">
        <is>
          <t>Error: enable exit time or clear exits.</t>
        </is>
      </c>
      <c r="J353" s="7" t="inlineStr">
        <is>
          <t>— Not tested</t>
        </is>
      </c>
      <c r="K353" s="7" t="inlineStr">
        <is>
          <t>— Not tested</t>
        </is>
      </c>
      <c r="L353" s="7" t="inlineStr">
        <is>
          <t>— Not tested</t>
        </is>
      </c>
    </row>
    <row r="354">
      <c r="A354" s="9" t="n">
        <v>353</v>
      </c>
      <c r="B354" s="9" t="inlineStr">
        <is>
          <t>3 — Trades</t>
        </is>
      </c>
      <c r="C354" s="9" t="n">
        <v>31</v>
      </c>
      <c r="D354" s="9" t="inlineStr">
        <is>
          <t>Add Trade — Validation Errors</t>
        </is>
      </c>
      <c r="E354" s="7" t="inlineStr">
        <is>
          <t>Logic</t>
        </is>
      </c>
      <c r="F354" s="7" t="inlineStr">
        <is>
          <t>P1</t>
        </is>
      </c>
      <c r="G354" s="7" t="inlineStr">
        <is>
          <t>Exit timing ON but no exit rows.</t>
        </is>
      </c>
      <c r="H354" s="7" t="inlineStr">
        <is>
          <t>timing only</t>
        </is>
      </c>
      <c r="I354" s="7" t="inlineStr">
        <is>
          <t>Error: add exit or disable timing.</t>
        </is>
      </c>
      <c r="J354" s="7" t="inlineStr">
        <is>
          <t>— Not tested</t>
        </is>
      </c>
      <c r="K354" s="7" t="inlineStr">
        <is>
          <t>— Not tested</t>
        </is>
      </c>
      <c r="L354" s="7" t="inlineStr">
        <is>
          <t>— Not tested</t>
        </is>
      </c>
    </row>
    <row r="355">
      <c r="A355" s="9" t="n">
        <v>354</v>
      </c>
      <c r="B355" s="9" t="inlineStr">
        <is>
          <t>3 — Trades</t>
        </is>
      </c>
      <c r="C355" s="9" t="n">
        <v>31</v>
      </c>
      <c r="D355" s="9" t="inlineStr">
        <is>
          <t>Add Trade — Validation Errors</t>
        </is>
      </c>
      <c r="E355" s="7" t="inlineStr">
        <is>
          <t>Logic</t>
        </is>
      </c>
      <c r="F355" s="7" t="inlineStr">
        <is>
          <t>P0</t>
        </is>
      </c>
      <c r="G355" s="7" t="inlineStr">
        <is>
          <t>Exit before entry time.</t>
        </is>
      </c>
      <c r="H355" s="7" t="inlineStr">
        <is>
          <t>exit&lt;entry</t>
        </is>
      </c>
      <c r="I355" s="7" t="inlineStr">
        <is>
          <t>Error: exit after entry.</t>
        </is>
      </c>
      <c r="J355" s="7" t="inlineStr">
        <is>
          <t>— Not tested</t>
        </is>
      </c>
      <c r="K355" s="7" t="inlineStr">
        <is>
          <t>— Not tested</t>
        </is>
      </c>
      <c r="L355" s="7" t="inlineStr">
        <is>
          <t>— Not tested</t>
        </is>
      </c>
    </row>
    <row r="356">
      <c r="A356" s="9" t="n">
        <v>355</v>
      </c>
      <c r="B356" s="9" t="inlineStr">
        <is>
          <t>3 — Trades</t>
        </is>
      </c>
      <c r="C356" s="9" t="n">
        <v>31</v>
      </c>
      <c r="D356" s="9" t="inlineStr">
        <is>
          <t>Add Trade — Validation Errors</t>
        </is>
      </c>
      <c r="E356" s="7" t="inlineStr">
        <is>
          <t>Logic</t>
        </is>
      </c>
      <c r="F356" s="7" t="inlineStr">
        <is>
          <t>P1</t>
        </is>
      </c>
      <c r="G356" s="7" t="inlineStr">
        <is>
          <t>Exit date outside session range.</t>
        </is>
      </c>
      <c r="H356" s="7" t="inlineStr">
        <is>
          <t>outside</t>
        </is>
      </c>
      <c r="I356" s="7" t="inlineStr">
        <is>
          <t>Error: within session range.</t>
        </is>
      </c>
      <c r="J356" s="7" t="inlineStr">
        <is>
          <t>— Not tested</t>
        </is>
      </c>
      <c r="K356" s="7" t="inlineStr">
        <is>
          <t>— Not tested</t>
        </is>
      </c>
      <c r="L356" s="7" t="inlineStr">
        <is>
          <t>— Not tested</t>
        </is>
      </c>
    </row>
    <row r="357">
      <c r="A357" s="9" t="n">
        <v>356</v>
      </c>
      <c r="B357" s="9" t="inlineStr">
        <is>
          <t>3 — Trades</t>
        </is>
      </c>
      <c r="C357" s="9" t="n">
        <v>31</v>
      </c>
      <c r="D357" s="9" t="inlineStr">
        <is>
          <t>Add Trade — Validation Errors</t>
        </is>
      </c>
      <c r="E357" s="7" t="inlineStr">
        <is>
          <t>Logic</t>
        </is>
      </c>
      <c r="F357" s="7" t="inlineStr">
        <is>
          <t>P1</t>
        </is>
      </c>
      <c r="G357" s="7" t="inlineStr">
        <is>
          <t>Target price 0.</t>
        </is>
      </c>
      <c r="H357" s="7" t="inlineStr">
        <is>
          <t>TP=0</t>
        </is>
      </c>
      <c r="I357" s="7" t="inlineStr">
        <is>
          <t>Error: targets &gt; 0.</t>
        </is>
      </c>
      <c r="J357" s="7" t="inlineStr">
        <is>
          <t>— Not tested</t>
        </is>
      </c>
      <c r="K357" s="7" t="inlineStr">
        <is>
          <t>— Not tested</t>
        </is>
      </c>
      <c r="L357" s="7" t="inlineStr">
        <is>
          <t>— Not tested</t>
        </is>
      </c>
    </row>
    <row r="358">
      <c r="A358" s="9" t="n">
        <v>357</v>
      </c>
      <c r="B358" s="9" t="inlineStr">
        <is>
          <t>3 — Trades</t>
        </is>
      </c>
      <c r="C358" s="9" t="n">
        <v>31</v>
      </c>
      <c r="D358" s="9" t="inlineStr">
        <is>
          <t>Add Trade — Validation Errors</t>
        </is>
      </c>
      <c r="E358" s="7" t="inlineStr">
        <is>
          <t>Logic</t>
        </is>
      </c>
      <c r="F358" s="7" t="inlineStr">
        <is>
          <t>P1</t>
        </is>
      </c>
      <c r="G358" s="7" t="inlineStr">
        <is>
          <t>Negative commission.</t>
        </is>
      </c>
      <c r="H358" s="7" t="inlineStr">
        <is>
          <t>-1</t>
        </is>
      </c>
      <c r="I358" s="7" t="inlineStr">
        <is>
          <t>Error: commission &gt;= 0.</t>
        </is>
      </c>
      <c r="J358" s="7" t="inlineStr">
        <is>
          <t>— Not tested</t>
        </is>
      </c>
      <c r="K358" s="7" t="inlineStr">
        <is>
          <t>— Not tested</t>
        </is>
      </c>
      <c r="L358" s="7" t="inlineStr">
        <is>
          <t>— Not tested</t>
        </is>
      </c>
    </row>
    <row r="359">
      <c r="A359" s="9" t="n">
        <v>358</v>
      </c>
      <c r="B359" s="9" t="inlineStr">
        <is>
          <t>3 — Trades</t>
        </is>
      </c>
      <c r="C359" s="9" t="n">
        <v>31</v>
      </c>
      <c r="D359" s="9" t="inlineStr">
        <is>
          <t>Add Trade — Validation Errors</t>
        </is>
      </c>
      <c r="E359" s="7" t="inlineStr">
        <is>
          <t>Logic</t>
        </is>
      </c>
      <c r="F359" s="7" t="inlineStr">
        <is>
          <t>P1</t>
        </is>
      </c>
      <c r="G359" s="7" t="inlineStr">
        <is>
          <t>Negative spread.</t>
        </is>
      </c>
      <c r="H359" s="7" t="inlineStr">
        <is>
          <t>-1</t>
        </is>
      </c>
      <c r="I359" s="7" t="inlineStr">
        <is>
          <t>Error: spread &gt;= 0.</t>
        </is>
      </c>
      <c r="J359" s="7" t="inlineStr">
        <is>
          <t>— Not tested</t>
        </is>
      </c>
      <c r="K359" s="7" t="inlineStr">
        <is>
          <t>— Not tested</t>
        </is>
      </c>
      <c r="L359" s="7" t="inlineStr">
        <is>
          <t>— Not tested</t>
        </is>
      </c>
    </row>
    <row r="360">
      <c r="A360" s="9" t="n">
        <v>359</v>
      </c>
      <c r="B360" s="9" t="inlineStr">
        <is>
          <t>3 — Trades</t>
        </is>
      </c>
      <c r="C360" s="9" t="n">
        <v>32</v>
      </c>
      <c r="D360" s="9" t="inlineStr">
        <is>
          <t>Add Trade — Excursion MFE/MAE</t>
        </is>
      </c>
      <c r="E360" s="7" t="inlineStr">
        <is>
          <t>Logic</t>
        </is>
      </c>
      <c r="F360" s="7" t="inlineStr">
        <is>
          <t>P1</t>
        </is>
      </c>
      <c r="G360" s="7" t="inlineStr">
        <is>
          <t>Excursion mode None.</t>
        </is>
      </c>
      <c r="H360" s="7" t="inlineStr">
        <is>
          <t>none</t>
        </is>
      </c>
      <c r="I360" s="7" t="inlineStr">
        <is>
          <t>No high/low required; saves.</t>
        </is>
      </c>
      <c r="J360" s="7" t="inlineStr">
        <is>
          <t>— Not tested</t>
        </is>
      </c>
      <c r="K360" s="7" t="inlineStr">
        <is>
          <t>— Not tested</t>
        </is>
      </c>
      <c r="L360" s="7" t="inlineStr">
        <is>
          <t>— Not tested</t>
        </is>
      </c>
    </row>
    <row r="361">
      <c r="A361" s="9" t="n">
        <v>360</v>
      </c>
      <c r="B361" s="9" t="inlineStr">
        <is>
          <t>3 — Trades</t>
        </is>
      </c>
      <c r="C361" s="9" t="n">
        <v>32</v>
      </c>
      <c r="D361" s="9" t="inlineStr">
        <is>
          <t>Add Trade — Excursion MFE/MAE</t>
        </is>
      </c>
      <c r="E361" s="7" t="inlineStr">
        <is>
          <t>Logic</t>
        </is>
      </c>
      <c r="F361" s="7" t="inlineStr">
        <is>
          <t>P1</t>
        </is>
      </c>
      <c r="G361" s="7" t="inlineStr">
        <is>
          <t>Standard: high=105 low=95 entry=100.</t>
        </is>
      </c>
      <c r="H361" s="7" t="inlineStr">
        <is>
          <t>in range</t>
        </is>
      </c>
      <c r="I361" s="7" t="inlineStr">
        <is>
          <t>Saves; MFE/MAE calculate.</t>
        </is>
      </c>
      <c r="J361" s="7" t="inlineStr">
        <is>
          <t>— Not tested</t>
        </is>
      </c>
      <c r="K361" s="7" t="inlineStr">
        <is>
          <t>— Not tested</t>
        </is>
      </c>
      <c r="L361" s="7" t="inlineStr">
        <is>
          <t>— Not tested</t>
        </is>
      </c>
    </row>
    <row r="362">
      <c r="A362" s="9" t="n">
        <v>361</v>
      </c>
      <c r="B362" s="9" t="inlineStr">
        <is>
          <t>3 — Trades</t>
        </is>
      </c>
      <c r="C362" s="9" t="n">
        <v>32</v>
      </c>
      <c r="D362" s="9" t="inlineStr">
        <is>
          <t>Add Trade — Excursion MFE/MAE</t>
        </is>
      </c>
      <c r="E362" s="7" t="inlineStr">
        <is>
          <t>Logic</t>
        </is>
      </c>
      <c r="F362" s="7" t="inlineStr">
        <is>
          <t>P0</t>
        </is>
      </c>
      <c r="G362" s="7" t="inlineStr">
        <is>
          <t>Standard: high &lt;= low.</t>
        </is>
      </c>
      <c r="H362" s="7" t="inlineStr">
        <is>
          <t>high=95 low=100</t>
        </is>
      </c>
      <c r="I362" s="7" t="inlineStr">
        <is>
          <t>Error: high above low.</t>
        </is>
      </c>
      <c r="J362" s="7" t="inlineStr">
        <is>
          <t>— Not tested</t>
        </is>
      </c>
      <c r="K362" s="7" t="inlineStr">
        <is>
          <t>— Not tested</t>
        </is>
      </c>
      <c r="L362" s="7" t="inlineStr">
        <is>
          <t>— Not tested</t>
        </is>
      </c>
    </row>
    <row r="363">
      <c r="A363" s="9" t="n">
        <v>362</v>
      </c>
      <c r="B363" s="9" t="inlineStr">
        <is>
          <t>3 — Trades</t>
        </is>
      </c>
      <c r="C363" s="9" t="n">
        <v>32</v>
      </c>
      <c r="D363" s="9" t="inlineStr">
        <is>
          <t>Add Trade — Excursion MFE/MAE</t>
        </is>
      </c>
      <c r="E363" s="7" t="inlineStr">
        <is>
          <t>Logic</t>
        </is>
      </c>
      <c r="F363" s="7" t="inlineStr">
        <is>
          <t>P0</t>
        </is>
      </c>
      <c r="G363" s="7" t="inlineStr">
        <is>
          <t>Standard: entry outside high-low.</t>
        </is>
      </c>
      <c r="H363" s="7" t="inlineStr">
        <is>
          <t>entry=110</t>
        </is>
      </c>
      <c r="I363" s="7" t="inlineStr">
        <is>
          <t>Error: entry inside range.</t>
        </is>
      </c>
      <c r="J363" s="7" t="inlineStr">
        <is>
          <t>— Not tested</t>
        </is>
      </c>
      <c r="K363" s="7" t="inlineStr">
        <is>
          <t>— Not tested</t>
        </is>
      </c>
      <c r="L363" s="7" t="inlineStr">
        <is>
          <t>— Not tested</t>
        </is>
      </c>
    </row>
    <row r="364">
      <c r="A364" s="9" t="n">
        <v>363</v>
      </c>
      <c r="B364" s="9" t="inlineStr">
        <is>
          <t>3 — Trades</t>
        </is>
      </c>
      <c r="C364" s="9" t="n">
        <v>32</v>
      </c>
      <c r="D364" s="9" t="inlineStr">
        <is>
          <t>Add Trade — Excursion MFE/MAE</t>
        </is>
      </c>
      <c r="E364" s="7" t="inlineStr">
        <is>
          <t>Logic</t>
        </is>
      </c>
      <c r="F364" s="7" t="inlineStr">
        <is>
          <t>P1</t>
        </is>
      </c>
      <c r="G364" s="7" t="inlineStr">
        <is>
          <t>Standard: exit outside range.</t>
        </is>
      </c>
      <c r="H364" s="7" t="inlineStr">
        <is>
          <t>exit outside</t>
        </is>
      </c>
      <c r="I364" s="7" t="inlineStr">
        <is>
          <t>Error: exit inside range.</t>
        </is>
      </c>
      <c r="J364" s="7" t="inlineStr">
        <is>
          <t>— Not tested</t>
        </is>
      </c>
      <c r="K364" s="7" t="inlineStr">
        <is>
          <t>— Not tested</t>
        </is>
      </c>
      <c r="L364" s="7" t="inlineStr">
        <is>
          <t>— Not tested</t>
        </is>
      </c>
    </row>
    <row r="365">
      <c r="A365" s="9" t="n">
        <v>364</v>
      </c>
      <c r="B365" s="9" t="inlineStr">
        <is>
          <t>3 — Trades</t>
        </is>
      </c>
      <c r="C365" s="9" t="n">
        <v>32</v>
      </c>
      <c r="D365" s="9" t="inlineStr">
        <is>
          <t>Add Trade — Excursion MFE/MAE</t>
        </is>
      </c>
      <c r="E365" s="7" t="inlineStr">
        <is>
          <t>Logic</t>
        </is>
      </c>
      <c r="F365" s="7" t="inlineStr">
        <is>
          <t>P1</t>
        </is>
      </c>
      <c r="G365" s="7" t="inlineStr">
        <is>
          <t>Standard: range &gt;500R from entry.</t>
        </is>
      </c>
      <c r="H365" s="7" t="inlineStr">
        <is>
          <t>extreme range</t>
        </is>
      </c>
      <c r="I365" s="7" t="inlineStr">
        <is>
          <t>Error: too far to analyze.</t>
        </is>
      </c>
      <c r="J365" s="7" t="inlineStr">
        <is>
          <t>— Not tested</t>
        </is>
      </c>
      <c r="K365" s="7" t="inlineStr">
        <is>
          <t>— Not tested</t>
        </is>
      </c>
      <c r="L365" s="7" t="inlineStr">
        <is>
          <t>— Not tested</t>
        </is>
      </c>
    </row>
    <row r="366">
      <c r="A366" s="9" t="n">
        <v>365</v>
      </c>
      <c r="B366" s="9" t="inlineStr">
        <is>
          <t>3 — Trades</t>
        </is>
      </c>
      <c r="C366" s="9" t="n">
        <v>32</v>
      </c>
      <c r="D366" s="9" t="inlineStr">
        <is>
          <t>Add Trade — Excursion MFE/MAE</t>
        </is>
      </c>
      <c r="E366" s="7" t="inlineStr">
        <is>
          <t>Logic</t>
        </is>
      </c>
      <c r="F366" s="7" t="inlineStr">
        <is>
          <t>P2</t>
        </is>
      </c>
      <c r="G366" s="7" t="inlineStr">
        <is>
          <t>Extended: closed trade + post high/low + window 10.</t>
        </is>
      </c>
      <c r="H366" s="7" t="inlineStr">
        <is>
          <t>valid</t>
        </is>
      </c>
      <c r="I366" s="7" t="inlineStr">
        <is>
          <t>Saves.</t>
        </is>
      </c>
      <c r="J366" s="7" t="inlineStr">
        <is>
          <t>— Not tested</t>
        </is>
      </c>
      <c r="K366" s="7" t="inlineStr">
        <is>
          <t>— Not tested</t>
        </is>
      </c>
      <c r="L366" s="7" t="inlineStr">
        <is>
          <t>— Not tested</t>
        </is>
      </c>
    </row>
    <row r="367">
      <c r="A367" s="9" t="n">
        <v>366</v>
      </c>
      <c r="B367" s="9" t="inlineStr">
        <is>
          <t>3 — Trades</t>
        </is>
      </c>
      <c r="C367" s="9" t="n">
        <v>32</v>
      </c>
      <c r="D367" s="9" t="inlineStr">
        <is>
          <t>Add Trade — Excursion MFE/MAE</t>
        </is>
      </c>
      <c r="E367" s="7" t="inlineStr">
        <is>
          <t>Logic</t>
        </is>
      </c>
      <c r="F367" s="7" t="inlineStr">
        <is>
          <t>P1</t>
        </is>
      </c>
      <c r="G367" s="7" t="inlineStr">
        <is>
          <t>Extended on open trade.</t>
        </is>
      </c>
      <c r="H367" s="7" t="inlineStr">
        <is>
          <t>open</t>
        </is>
      </c>
      <c r="I367" s="7" t="inlineStr">
        <is>
          <t>Error: needs closed trade.</t>
        </is>
      </c>
      <c r="J367" s="7" t="inlineStr">
        <is>
          <t>— Not tested</t>
        </is>
      </c>
      <c r="K367" s="7" t="inlineStr">
        <is>
          <t>— Not tested</t>
        </is>
      </c>
      <c r="L367" s="7" t="inlineStr">
        <is>
          <t>— Not tested</t>
        </is>
      </c>
    </row>
    <row r="368">
      <c r="A368" s="9" t="n">
        <v>367</v>
      </c>
      <c r="B368" s="9" t="inlineStr">
        <is>
          <t>3 — Trades</t>
        </is>
      </c>
      <c r="C368" s="9" t="n">
        <v>32</v>
      </c>
      <c r="D368" s="9" t="inlineStr">
        <is>
          <t>Add Trade — Excursion MFE/MAE</t>
        </is>
      </c>
      <c r="E368" s="7" t="inlineStr">
        <is>
          <t>Logic</t>
        </is>
      </c>
      <c r="F368" s="7" t="inlineStr">
        <is>
          <t>P1</t>
        </is>
      </c>
      <c r="G368" s="7" t="inlineStr">
        <is>
          <t>Extended: post window 0.</t>
        </is>
      </c>
      <c r="H368" s="7" t="inlineStr">
        <is>
          <t>0</t>
        </is>
      </c>
      <c r="I368" s="7" t="inlineStr">
        <is>
          <t>Error: whole number &gt; 0.</t>
        </is>
      </c>
      <c r="J368" s="7" t="inlineStr">
        <is>
          <t>— Not tested</t>
        </is>
      </c>
      <c r="K368" s="7" t="inlineStr">
        <is>
          <t>— Not tested</t>
        </is>
      </c>
      <c r="L368" s="7" t="inlineStr">
        <is>
          <t>— Not tested</t>
        </is>
      </c>
    </row>
    <row r="369">
      <c r="A369" s="9" t="n">
        <v>368</v>
      </c>
      <c r="B369" s="9" t="inlineStr">
        <is>
          <t>3 — Trades</t>
        </is>
      </c>
      <c r="C369" s="9" t="n">
        <v>32</v>
      </c>
      <c r="D369" s="9" t="inlineStr">
        <is>
          <t>Add Trade — Excursion MFE/MAE</t>
        </is>
      </c>
      <c r="E369" s="7" t="inlineStr">
        <is>
          <t>Logic</t>
        </is>
      </c>
      <c r="F369" s="7" t="inlineStr">
        <is>
          <t>P2</t>
        </is>
      </c>
      <c r="G369" s="7" t="inlineStr">
        <is>
          <t>Extended: post window 1.5 (non-integer).</t>
        </is>
      </c>
      <c r="H369" s="7" t="inlineStr">
        <is>
          <t>1.5</t>
        </is>
      </c>
      <c r="I369" s="7" t="inlineStr">
        <is>
          <t>Error: whole number.</t>
        </is>
      </c>
      <c r="J369" s="7" t="inlineStr">
        <is>
          <t>— Not tested</t>
        </is>
      </c>
      <c r="K369" s="7" t="inlineStr">
        <is>
          <t>— Not tested</t>
        </is>
      </c>
      <c r="L369" s="7" t="inlineStr">
        <is>
          <t>— Not tested</t>
        </is>
      </c>
    </row>
    <row r="370">
      <c r="A370" s="9" t="n">
        <v>369</v>
      </c>
      <c r="B370" s="9" t="inlineStr">
        <is>
          <t>3 — Trades</t>
        </is>
      </c>
      <c r="C370" s="9" t="n">
        <v>32</v>
      </c>
      <c r="D370" s="9" t="inlineStr">
        <is>
          <t>Add Trade — Warnings (non-blocking)</t>
        </is>
      </c>
      <c r="E370" s="7" t="inlineStr">
        <is>
          <t>Edge</t>
        </is>
      </c>
      <c r="F370" s="7" t="inlineStr">
        <is>
          <t>P2</t>
        </is>
      </c>
      <c r="G370" s="7" t="inlineStr">
        <is>
          <t>Very wide stop → R &gt; 50.</t>
        </is>
      </c>
      <c r="H370" s="7" t="inlineStr">
        <is>
          <t>tiny stop distance</t>
        </is>
      </c>
      <c r="I370" s="7" t="inlineStr">
        <is>
          <t>Warning: unusually large R; can still save.</t>
        </is>
      </c>
      <c r="J370" s="7" t="inlineStr">
        <is>
          <t>— Not tested</t>
        </is>
      </c>
      <c r="K370" s="7" t="inlineStr">
        <is>
          <t>— Not tested</t>
        </is>
      </c>
      <c r="L370" s="7" t="inlineStr">
        <is>
          <t>— Not tested</t>
        </is>
      </c>
    </row>
    <row r="371">
      <c r="A371" s="9" t="n">
        <v>370</v>
      </c>
      <c r="B371" s="9" t="inlineStr">
        <is>
          <t>3 — Trades</t>
        </is>
      </c>
      <c r="C371" s="9" t="n">
        <v>32</v>
      </c>
      <c r="D371" s="9" t="inlineStr">
        <is>
          <t>Add Trade — Warnings (non-blocking)</t>
        </is>
      </c>
      <c r="E371" s="7" t="inlineStr">
        <is>
          <t>Edge</t>
        </is>
      </c>
      <c r="F371" s="7" t="inlineStr">
        <is>
          <t>P2</t>
        </is>
      </c>
      <c r="G371" s="7" t="inlineStr">
        <is>
          <t>No target set.</t>
        </is>
      </c>
      <c r="H371" s="7" t="inlineStr">
        <is>
          <t>empty TP</t>
        </is>
      </c>
      <c r="I371" s="7" t="inlineStr">
        <is>
          <t>Warning: planned R blank.</t>
        </is>
      </c>
      <c r="J371" s="7" t="inlineStr">
        <is>
          <t>— Not tested</t>
        </is>
      </c>
      <c r="K371" s="7" t="inlineStr">
        <is>
          <t>— Not tested</t>
        </is>
      </c>
      <c r="L371" s="7" t="inlineStr">
        <is>
          <t>— Not tested</t>
        </is>
      </c>
    </row>
    <row r="372">
      <c r="A372" s="9" t="n">
        <v>371</v>
      </c>
      <c r="B372" s="9" t="inlineStr">
        <is>
          <t>3 — Trades</t>
        </is>
      </c>
      <c r="C372" s="9" t="n">
        <v>32</v>
      </c>
      <c r="D372" s="9" t="inlineStr">
        <is>
          <t>Add Trade — Warnings (non-blocking)</t>
        </is>
      </c>
      <c r="E372" s="7" t="inlineStr">
        <is>
          <t>Edge</t>
        </is>
      </c>
      <c r="F372" s="7" t="inlineStr">
        <is>
          <t>P2</t>
        </is>
      </c>
      <c r="G372" s="7" t="inlineStr">
        <is>
          <t>No commission entered.</t>
        </is>
      </c>
      <c r="H372" s="7" t="inlineStr">
        <is>
          <t>empty</t>
        </is>
      </c>
      <c r="I372" s="7" t="inlineStr">
        <is>
          <t>Warning: net equals gross.</t>
        </is>
      </c>
      <c r="J372" s="7" t="inlineStr">
        <is>
          <t>— Not tested</t>
        </is>
      </c>
      <c r="K372" s="7" t="inlineStr">
        <is>
          <t>— Not tested</t>
        </is>
      </c>
      <c r="L372" s="7" t="inlineStr">
        <is>
          <t>— Not tested</t>
        </is>
      </c>
    </row>
    <row r="373">
      <c r="A373" s="9" t="n">
        <v>372</v>
      </c>
      <c r="B373" s="9" t="inlineStr">
        <is>
          <t>3 — Trades</t>
        </is>
      </c>
      <c r="C373" s="9" t="n">
        <v>33</v>
      </c>
      <c r="D373" s="9" t="inlineStr">
        <is>
          <t>Add Trade — Tags, Discipline, Notes</t>
        </is>
      </c>
      <c r="E373" s="7" t="inlineStr">
        <is>
          <t>Configuration</t>
        </is>
      </c>
      <c r="F373" s="7" t="inlineStr">
        <is>
          <t>P1</t>
        </is>
      </c>
      <c r="G373" s="7" t="inlineStr">
        <is>
          <t>Tags tab: select 3 pre-trade tags from strategy.</t>
        </is>
      </c>
      <c r="H373" s="7" t="inlineStr">
        <is>
          <t>3 tags</t>
        </is>
      </c>
      <c r="I373" s="7" t="inlineStr">
        <is>
          <t>Chips active.</t>
        </is>
      </c>
      <c r="J373" s="7" t="inlineStr">
        <is>
          <t>— Not tested</t>
        </is>
      </c>
      <c r="K373" s="7" t="inlineStr">
        <is>
          <t>— Not tested</t>
        </is>
      </c>
      <c r="L373" s="7" t="inlineStr">
        <is>
          <t>— Not tested</t>
        </is>
      </c>
    </row>
    <row r="374">
      <c r="A374" s="9" t="n">
        <v>373</v>
      </c>
      <c r="B374" s="9" t="inlineStr">
        <is>
          <t>3 — Trades</t>
        </is>
      </c>
      <c r="C374" s="9" t="n">
        <v>33</v>
      </c>
      <c r="D374" s="9" t="inlineStr">
        <is>
          <t>Add Trade — Tags, Discipline, Notes</t>
        </is>
      </c>
      <c r="E374" s="7" t="inlineStr">
        <is>
          <t>Configuration</t>
        </is>
      </c>
      <c r="F374" s="7" t="inlineStr">
        <is>
          <t>P1</t>
        </is>
      </c>
      <c r="G374" s="7" t="inlineStr">
        <is>
          <t>Tags tab: select 5 post-trade tags.</t>
        </is>
      </c>
      <c r="H374" s="7" t="inlineStr">
        <is>
          <t>5 tags</t>
        </is>
      </c>
      <c r="I374" s="7" t="inlineStr">
        <is>
          <t>All save.</t>
        </is>
      </c>
      <c r="J374" s="7" t="inlineStr">
        <is>
          <t>— Not tested</t>
        </is>
      </c>
      <c r="K374" s="7" t="inlineStr">
        <is>
          <t>— Not tested</t>
        </is>
      </c>
      <c r="L374" s="7" t="inlineStr">
        <is>
          <t>— Not tested</t>
        </is>
      </c>
    </row>
    <row r="375">
      <c r="A375" s="9" t="n">
        <v>374</v>
      </c>
      <c r="B375" s="9" t="inlineStr">
        <is>
          <t>3 — Trades</t>
        </is>
      </c>
      <c r="C375" s="9" t="n">
        <v>33</v>
      </c>
      <c r="D375" s="9" t="inlineStr">
        <is>
          <t>Add Trade — Tags, Discipline, Notes</t>
        </is>
      </c>
      <c r="E375" s="7" t="inlineStr">
        <is>
          <t>Configuration</t>
        </is>
      </c>
      <c r="F375" s="7" t="inlineStr">
        <is>
          <t>P0</t>
        </is>
      </c>
      <c r="G375" s="7" t="inlineStr">
        <is>
          <t>Strategy/setup required — select from dropdown.</t>
        </is>
      </c>
      <c r="H375" s="7" t="inlineStr">
        <is>
          <t>strategy</t>
        </is>
      </c>
      <c r="I375" s="7" t="inlineStr">
        <is>
          <t>Saves.</t>
        </is>
      </c>
      <c r="J375" s="7" t="inlineStr">
        <is>
          <t>— Not tested</t>
        </is>
      </c>
      <c r="K375" s="7" t="inlineStr">
        <is>
          <t>— Not tested</t>
        </is>
      </c>
      <c r="L375" s="7" t="inlineStr">
        <is>
          <t>— Not tested</t>
        </is>
      </c>
    </row>
    <row r="376">
      <c r="A376" s="9" t="n">
        <v>375</v>
      </c>
      <c r="B376" s="9" t="inlineStr">
        <is>
          <t>3 — Trades</t>
        </is>
      </c>
      <c r="C376" s="9" t="n">
        <v>33</v>
      </c>
      <c r="D376" s="9" t="inlineStr">
        <is>
          <t>Add Trade — Tags, Discipline, Notes</t>
        </is>
      </c>
      <c r="E376" s="7" t="inlineStr">
        <is>
          <t>Configuration</t>
        </is>
      </c>
      <c r="F376" s="7" t="inlineStr">
        <is>
          <t>P2</t>
        </is>
      </c>
      <c r="G376" s="7" t="inlineStr">
        <is>
          <t>Discipline tab (journal): plan review field.</t>
        </is>
      </c>
      <c r="H376" s="7" t="inlineStr">
        <is>
          <t>text</t>
        </is>
      </c>
      <c r="I376" s="7" t="inlineStr">
        <is>
          <t>Saves.</t>
        </is>
      </c>
      <c r="J376" s="7" t="inlineStr">
        <is>
          <t>— Not tested</t>
        </is>
      </c>
      <c r="K376" s="7" t="inlineStr">
        <is>
          <t>— Not tested</t>
        </is>
      </c>
      <c r="L376" s="7" t="inlineStr">
        <is>
          <t>— Not tested</t>
        </is>
      </c>
    </row>
    <row r="377">
      <c r="A377" s="9" t="n">
        <v>376</v>
      </c>
      <c r="B377" s="9" t="inlineStr">
        <is>
          <t>3 — Trades</t>
        </is>
      </c>
      <c r="C377" s="9" t="n">
        <v>33</v>
      </c>
      <c r="D377" s="9" t="inlineStr">
        <is>
          <t>Add Trade — Tags, Discipline, Notes</t>
        </is>
      </c>
      <c r="E377" s="7" t="inlineStr">
        <is>
          <t>Configuration</t>
        </is>
      </c>
      <c r="F377" s="7" t="inlineStr">
        <is>
          <t>P2</t>
        </is>
      </c>
      <c r="G377" s="7" t="inlineStr">
        <is>
          <t>Discipline: behavior tags multi-select.</t>
        </is>
      </c>
      <c r="H377" s="7" t="inlineStr">
        <is>
          <t>tags</t>
        </is>
      </c>
      <c r="I377" s="7" t="inlineStr">
        <is>
          <t>Saves.</t>
        </is>
      </c>
      <c r="J377" s="7" t="inlineStr">
        <is>
          <t>— Not tested</t>
        </is>
      </c>
      <c r="K377" s="7" t="inlineStr">
        <is>
          <t>— Not tested</t>
        </is>
      </c>
      <c r="L377" s="7" t="inlineStr">
        <is>
          <t>— Not tested</t>
        </is>
      </c>
    </row>
    <row r="378">
      <c r="A378" s="9" t="n">
        <v>377</v>
      </c>
      <c r="B378" s="9" t="inlineStr">
        <is>
          <t>3 — Trades</t>
        </is>
      </c>
      <c r="C378" s="9" t="n">
        <v>33</v>
      </c>
      <c r="D378" s="9" t="inlineStr">
        <is>
          <t>Add Trade — Tags, Discipline, Notes</t>
        </is>
      </c>
      <c r="E378" s="7" t="inlineStr">
        <is>
          <t>Configuration</t>
        </is>
      </c>
      <c r="F378" s="7" t="inlineStr">
        <is>
          <t>P2</t>
        </is>
      </c>
      <c r="G378" s="7" t="inlineStr">
        <is>
          <t>Notes: pre-trade 500 chars.</t>
        </is>
      </c>
      <c r="H378" s="7" t="inlineStr">
        <is>
          <t>500 chars</t>
        </is>
      </c>
      <c r="I378" s="7" t="inlineStr">
        <is>
          <t>Saves.</t>
        </is>
      </c>
      <c r="J378" s="7" t="inlineStr">
        <is>
          <t>— Not tested</t>
        </is>
      </c>
      <c r="K378" s="7" t="inlineStr">
        <is>
          <t>— Not tested</t>
        </is>
      </c>
      <c r="L378" s="7" t="inlineStr">
        <is>
          <t>— Not tested</t>
        </is>
      </c>
    </row>
    <row r="379">
      <c r="A379" s="9" t="n">
        <v>378</v>
      </c>
      <c r="B379" s="9" t="inlineStr">
        <is>
          <t>3 — Trades</t>
        </is>
      </c>
      <c r="C379" s="9" t="n">
        <v>33</v>
      </c>
      <c r="D379" s="9" t="inlineStr">
        <is>
          <t>Add Trade — Tags, Discipline, Notes</t>
        </is>
      </c>
      <c r="E379" s="7" t="inlineStr">
        <is>
          <t>Configuration</t>
        </is>
      </c>
      <c r="F379" s="7" t="inlineStr">
        <is>
          <t>P2</t>
        </is>
      </c>
      <c r="G379" s="7" t="inlineStr">
        <is>
          <t>Notes: post-trade empty.</t>
        </is>
      </c>
      <c r="H379" s="7" t="inlineStr">
        <is>
          <t>—</t>
        </is>
      </c>
      <c r="I379" s="7" t="inlineStr">
        <is>
          <t>Allowed.</t>
        </is>
      </c>
      <c r="J379" s="7" t="inlineStr">
        <is>
          <t>— Not tested</t>
        </is>
      </c>
      <c r="K379" s="7" t="inlineStr">
        <is>
          <t>— Not tested</t>
        </is>
      </c>
      <c r="L379" s="7" t="inlineStr">
        <is>
          <t>— Not tested</t>
        </is>
      </c>
    </row>
    <row r="380">
      <c r="A380" s="9" t="n">
        <v>379</v>
      </c>
      <c r="B380" s="9" t="inlineStr">
        <is>
          <t>3 — Trades</t>
        </is>
      </c>
      <c r="C380" s="9" t="n">
        <v>33</v>
      </c>
      <c r="D380" s="9" t="inlineStr">
        <is>
          <t>Add Trade — Tags, Discipline, Notes</t>
        </is>
      </c>
      <c r="E380" s="7" t="inlineStr">
        <is>
          <t>Configuration</t>
        </is>
      </c>
      <c r="F380" s="7" t="inlineStr">
        <is>
          <t>P1</t>
        </is>
      </c>
      <c r="G380" s="7" t="inlineStr">
        <is>
          <t>Screenshot pre: upload PNG.</t>
        </is>
      </c>
      <c r="H380" s="7" t="inlineStr">
        <is>
          <t>image</t>
        </is>
      </c>
      <c r="I380" s="7" t="inlineStr">
        <is>
          <t>Thumbnail shows.</t>
        </is>
      </c>
      <c r="J380" s="7" t="inlineStr">
        <is>
          <t>— Not tested</t>
        </is>
      </c>
      <c r="K380" s="7" t="inlineStr">
        <is>
          <t>— Not tested</t>
        </is>
      </c>
      <c r="L380" s="7" t="inlineStr">
        <is>
          <t>— Not tested</t>
        </is>
      </c>
    </row>
    <row r="381">
      <c r="A381" s="9" t="n">
        <v>380</v>
      </c>
      <c r="B381" s="9" t="inlineStr">
        <is>
          <t>3 — Trades</t>
        </is>
      </c>
      <c r="C381" s="9" t="n">
        <v>33</v>
      </c>
      <c r="D381" s="9" t="inlineStr">
        <is>
          <t>Add Trade — Tags, Discipline, Notes</t>
        </is>
      </c>
      <c r="E381" s="7" t="inlineStr">
        <is>
          <t>Configuration</t>
        </is>
      </c>
      <c r="F381" s="7" t="inlineStr">
        <is>
          <t>P2</t>
        </is>
      </c>
      <c r="G381" s="7" t="inlineStr">
        <is>
          <t>Screenshot post: upload 2 images if slots allow.</t>
        </is>
      </c>
      <c r="H381" s="7" t="inlineStr">
        <is>
          <t>2 images</t>
        </is>
      </c>
      <c r="I381" s="7" t="inlineStr">
        <is>
          <t>Both display.</t>
        </is>
      </c>
      <c r="J381" s="7" t="inlineStr">
        <is>
          <t>— Not tested</t>
        </is>
      </c>
      <c r="K381" s="7" t="inlineStr">
        <is>
          <t>— Not tested</t>
        </is>
      </c>
      <c r="L381" s="7" t="inlineStr">
        <is>
          <t>— Not tested</t>
        </is>
      </c>
    </row>
    <row r="382">
      <c r="A382" s="9" t="n">
        <v>381</v>
      </c>
      <c r="B382" s="9" t="inlineStr">
        <is>
          <t>3 — Trades</t>
        </is>
      </c>
      <c r="C382" s="9" t="n">
        <v>33</v>
      </c>
      <c r="D382" s="9" t="inlineStr">
        <is>
          <t>Add Trade — Tags, Discipline, Notes</t>
        </is>
      </c>
      <c r="E382" s="7" t="inlineStr">
        <is>
          <t>Configuration</t>
        </is>
      </c>
      <c r="F382" s="7" t="inlineStr">
        <is>
          <t>P1</t>
        </is>
      </c>
      <c r="G382" s="7" t="inlineStr">
        <is>
          <t>Save &amp; Add Another.</t>
        </is>
      </c>
      <c r="H382" s="7" t="inlineStr">
        <is>
          <t>—</t>
        </is>
      </c>
      <c r="I382" s="7" t="inlineStr">
        <is>
          <t>Trade saved; form resets.</t>
        </is>
      </c>
      <c r="J382" s="7" t="inlineStr">
        <is>
          <t>— Not tested</t>
        </is>
      </c>
      <c r="K382" s="7" t="inlineStr">
        <is>
          <t>— Not tested</t>
        </is>
      </c>
      <c r="L382" s="7" t="inlineStr">
        <is>
          <t>— Not tested</t>
        </is>
      </c>
    </row>
    <row r="383">
      <c r="A383" s="9" t="n">
        <v>382</v>
      </c>
      <c r="B383" s="9" t="inlineStr">
        <is>
          <t>3 — Trades</t>
        </is>
      </c>
      <c r="C383" s="9" t="n">
        <v>34</v>
      </c>
      <c r="D383" s="9" t="inlineStr">
        <is>
          <t>Add Trade — Persistence &amp; Edit</t>
        </is>
      </c>
      <c r="E383" s="7" t="inlineStr">
        <is>
          <t>Logic</t>
        </is>
      </c>
      <c r="F383" s="7" t="inlineStr">
        <is>
          <t>P0</t>
        </is>
      </c>
      <c r="G383" s="7" t="inlineStr">
        <is>
          <t>Save → verify row in table.</t>
        </is>
      </c>
      <c r="H383" s="7" t="inlineStr">
        <is>
          <t>—</t>
        </is>
      </c>
      <c r="I383" s="7" t="inlineStr">
        <is>
          <t>New row with correct P&amp;L.</t>
        </is>
      </c>
      <c r="J383" s="7" t="inlineStr">
        <is>
          <t>— Not tested</t>
        </is>
      </c>
      <c r="K383" s="7" t="inlineStr">
        <is>
          <t>— Not tested</t>
        </is>
      </c>
      <c r="L383" s="7" t="inlineStr">
        <is>
          <t>— Not tested</t>
        </is>
      </c>
    </row>
    <row r="384">
      <c r="A384" s="9" t="n">
        <v>383</v>
      </c>
      <c r="B384" s="9" t="inlineStr">
        <is>
          <t>3 — Trades</t>
        </is>
      </c>
      <c r="C384" s="9" t="n">
        <v>34</v>
      </c>
      <c r="D384" s="9" t="inlineStr">
        <is>
          <t>Add Trade — Persistence &amp; Edit</t>
        </is>
      </c>
      <c r="E384" s="7" t="inlineStr">
        <is>
          <t>Logic</t>
        </is>
      </c>
      <c r="F384" s="7" t="inlineStr">
        <is>
          <t>P0</t>
        </is>
      </c>
      <c r="G384" s="7" t="inlineStr">
        <is>
          <t>Edit trade → change SL → Save.</t>
        </is>
      </c>
      <c r="H384" s="7" t="inlineStr">
        <is>
          <t>—</t>
        </is>
      </c>
      <c r="I384" s="7" t="inlineStr">
        <is>
          <t>Row updates; R recalculates.</t>
        </is>
      </c>
      <c r="J384" s="7" t="inlineStr">
        <is>
          <t>— Not tested</t>
        </is>
      </c>
      <c r="K384" s="7" t="inlineStr">
        <is>
          <t>— Not tested</t>
        </is>
      </c>
      <c r="L384" s="7" t="inlineStr">
        <is>
          <t>— Not tested</t>
        </is>
      </c>
    </row>
    <row r="385">
      <c r="A385" s="9" t="n">
        <v>384</v>
      </c>
      <c r="B385" s="9" t="inlineStr">
        <is>
          <t>3 — Trades</t>
        </is>
      </c>
      <c r="C385" s="9" t="n">
        <v>34</v>
      </c>
      <c r="D385" s="9" t="inlineStr">
        <is>
          <t>Add Trade — Persistence &amp; Edit</t>
        </is>
      </c>
      <c r="E385" s="7" t="inlineStr">
        <is>
          <t>Logic</t>
        </is>
      </c>
      <c r="F385" s="7" t="inlineStr">
        <is>
          <t>P1</t>
        </is>
      </c>
      <c r="G385" s="7" t="inlineStr">
        <is>
          <t>Edit trade → change tags → Save.</t>
        </is>
      </c>
      <c r="H385" s="7" t="inlineStr">
        <is>
          <t>—</t>
        </is>
      </c>
      <c r="I385" s="7" t="inlineStr">
        <is>
          <t>Expanded row shows new tags.</t>
        </is>
      </c>
      <c r="J385" s="7" t="inlineStr">
        <is>
          <t>— Not tested</t>
        </is>
      </c>
      <c r="K385" s="7" t="inlineStr">
        <is>
          <t>— Not tested</t>
        </is>
      </c>
      <c r="L385" s="7" t="inlineStr">
        <is>
          <t>— Not tested</t>
        </is>
      </c>
    </row>
    <row r="386">
      <c r="A386" s="9" t="n">
        <v>385</v>
      </c>
      <c r="B386" s="9" t="inlineStr">
        <is>
          <t>3 — Trades</t>
        </is>
      </c>
      <c r="C386" s="9" t="n">
        <v>34</v>
      </c>
      <c r="D386" s="9" t="inlineStr">
        <is>
          <t>Add Trade — Persistence &amp; Edit</t>
        </is>
      </c>
      <c r="E386" s="7" t="inlineStr">
        <is>
          <t>Logic</t>
        </is>
      </c>
      <c r="F386" s="7" t="inlineStr">
        <is>
          <t>P2</t>
        </is>
      </c>
      <c r="G386" s="7" t="inlineStr">
        <is>
          <t>Delete trade if available.</t>
        </is>
      </c>
      <c r="H386" s="7" t="inlineStr">
        <is>
          <t>—</t>
        </is>
      </c>
      <c r="I386" s="7" t="inlineStr">
        <is>
          <t>Removed from table.</t>
        </is>
      </c>
      <c r="J386" s="7" t="inlineStr">
        <is>
          <t>— Not tested</t>
        </is>
      </c>
      <c r="K386" s="7" t="inlineStr">
        <is>
          <t>— Not tested</t>
        </is>
      </c>
      <c r="L386" s="7" t="inlineStr">
        <is>
          <t>— Not tested</t>
        </is>
      </c>
    </row>
    <row r="387">
      <c r="A387" s="10" t="n">
        <v>386</v>
      </c>
      <c r="B387" s="10" t="inlineStr">
        <is>
          <t>4 — Sources</t>
        </is>
      </c>
      <c r="C387" s="10" t="n">
        <v>35</v>
      </c>
      <c r="D387" s="10" t="inlineStr">
        <is>
          <t>Sources Library — Open &amp; Shell</t>
        </is>
      </c>
      <c r="E387" s="7" t="inlineStr">
        <is>
          <t>Structure</t>
        </is>
      </c>
      <c r="F387" s="7" t="inlineStr">
        <is>
          <t>P0</t>
        </is>
      </c>
      <c r="G387" s="7" t="inlineStr">
        <is>
          <t>Dashboard → click source chip.</t>
        </is>
      </c>
      <c r="H387" s="7" t="inlineStr">
        <is>
          <t>—</t>
        </is>
      </c>
      <c r="I387" s="7" t="inlineStr">
        <is>
          <t>Library overlay opens.</t>
        </is>
      </c>
      <c r="J387" s="7" t="inlineStr">
        <is>
          <t>— Not tested</t>
        </is>
      </c>
      <c r="K387" s="7" t="inlineStr">
        <is>
          <t>— Not tested</t>
        </is>
      </c>
      <c r="L387" s="7" t="inlineStr">
        <is>
          <t>— Not tested</t>
        </is>
      </c>
    </row>
    <row r="388">
      <c r="A388" s="10" t="n">
        <v>387</v>
      </c>
      <c r="B388" s="10" t="inlineStr">
        <is>
          <t>4 — Sources</t>
        </is>
      </c>
      <c r="C388" s="10" t="n">
        <v>35</v>
      </c>
      <c r="D388" s="10" t="inlineStr">
        <is>
          <t>Sources Library — Open &amp; Shell</t>
        </is>
      </c>
      <c r="E388" s="7" t="inlineStr">
        <is>
          <t>Structure</t>
        </is>
      </c>
      <c r="F388" s="7" t="inlineStr">
        <is>
          <t>P0</t>
        </is>
      </c>
      <c r="G388" s="7" t="inlineStr">
        <is>
          <t>Trades → source switcher.</t>
        </is>
      </c>
      <c r="H388" s="7" t="inlineStr">
        <is>
          <t>—</t>
        </is>
      </c>
      <c r="I388" s="7" t="inlineStr">
        <is>
          <t>Same library UI.</t>
        </is>
      </c>
      <c r="J388" s="7" t="inlineStr">
        <is>
          <t>— Not tested</t>
        </is>
      </c>
      <c r="K388" s="7" t="inlineStr">
        <is>
          <t>— Not tested</t>
        </is>
      </c>
      <c r="L388" s="7" t="inlineStr">
        <is>
          <t>— Not tested</t>
        </is>
      </c>
    </row>
    <row r="389">
      <c r="A389" s="10" t="n">
        <v>388</v>
      </c>
      <c r="B389" s="10" t="inlineStr">
        <is>
          <t>4 — Sources</t>
        </is>
      </c>
      <c r="C389" s="10" t="n">
        <v>35</v>
      </c>
      <c r="D389" s="10" t="inlineStr">
        <is>
          <t>Sources Library — Open &amp; Shell</t>
        </is>
      </c>
      <c r="E389" s="7" t="inlineStr">
        <is>
          <t>Structure</t>
        </is>
      </c>
      <c r="F389" s="7" t="inlineStr">
        <is>
          <t>P1</t>
        </is>
      </c>
      <c r="G389" s="7" t="inlineStr">
        <is>
          <t>Verify overlay: tree left, list center, footer.</t>
        </is>
      </c>
      <c r="H389" s="7" t="inlineStr">
        <is>
          <t>—</t>
        </is>
      </c>
      <c r="I389" s="7" t="inlineStr">
        <is>
          <t>Three-zone layout.</t>
        </is>
      </c>
      <c r="J389" s="7" t="inlineStr">
        <is>
          <t>— Not tested</t>
        </is>
      </c>
      <c r="K389" s="7" t="inlineStr">
        <is>
          <t>— Not tested</t>
        </is>
      </c>
      <c r="L389" s="7" t="inlineStr">
        <is>
          <t>— Not tested</t>
        </is>
      </c>
    </row>
    <row r="390">
      <c r="A390" s="10" t="n">
        <v>389</v>
      </c>
      <c r="B390" s="10" t="inlineStr">
        <is>
          <t>4 — Sources</t>
        </is>
      </c>
      <c r="C390" s="10" t="n">
        <v>35</v>
      </c>
      <c r="D390" s="10" t="inlineStr">
        <is>
          <t>Sources Library — Open &amp; Shell</t>
        </is>
      </c>
      <c r="E390" s="7" t="inlineStr">
        <is>
          <t>Structure</t>
        </is>
      </c>
      <c r="F390" s="7" t="inlineStr">
        <is>
          <t>P2</t>
        </is>
      </c>
      <c r="G390" s="7" t="inlineStr">
        <is>
          <t>Click outside overlay.</t>
        </is>
      </c>
      <c r="H390" s="7" t="inlineStr">
        <is>
          <t>—</t>
        </is>
      </c>
      <c r="I390" s="7" t="inlineStr">
        <is>
          <t>Stays open or closes — note behavior.</t>
        </is>
      </c>
      <c r="J390" s="7" t="inlineStr">
        <is>
          <t>— Not tested</t>
        </is>
      </c>
      <c r="K390" s="7" t="inlineStr">
        <is>
          <t>— Not tested</t>
        </is>
      </c>
      <c r="L390" s="7" t="inlineStr">
        <is>
          <t>— Not tested</t>
        </is>
      </c>
    </row>
    <row r="391">
      <c r="A391" s="10" t="n">
        <v>390</v>
      </c>
      <c r="B391" s="10" t="inlineStr">
        <is>
          <t>4 — Sources</t>
        </is>
      </c>
      <c r="C391" s="10" t="n">
        <v>35</v>
      </c>
      <c r="D391" s="10" t="inlineStr">
        <is>
          <t>Sources Library — Open &amp; Shell</t>
        </is>
      </c>
      <c r="E391" s="7" t="inlineStr">
        <is>
          <t>Structure</t>
        </is>
      </c>
      <c r="F391" s="7" t="inlineStr">
        <is>
          <t>P2</t>
        </is>
      </c>
      <c r="G391" s="7" t="inlineStr">
        <is>
          <t>Resize window with library open.</t>
        </is>
      </c>
      <c r="H391" s="7" t="inlineStr">
        <is>
          <t>—</t>
        </is>
      </c>
      <c r="I391" s="7" t="inlineStr">
        <is>
          <t>Layout adapts.</t>
        </is>
      </c>
      <c r="J391" s="7" t="inlineStr">
        <is>
          <t>— Not tested</t>
        </is>
      </c>
      <c r="K391" s="7" t="inlineStr">
        <is>
          <t>— Not tested</t>
        </is>
      </c>
      <c r="L391" s="7" t="inlineStr">
        <is>
          <t>— Not tested</t>
        </is>
      </c>
    </row>
    <row r="392">
      <c r="A392" s="10" t="n">
        <v>391</v>
      </c>
      <c r="B392" s="10" t="inlineStr">
        <is>
          <t>4 — Sources</t>
        </is>
      </c>
      <c r="C392" s="10" t="n">
        <v>36</v>
      </c>
      <c r="D392" s="10" t="inlineStr">
        <is>
          <t>Sources — Tree Navigation</t>
        </is>
      </c>
      <c r="E392" s="7" t="inlineStr">
        <is>
          <t>Structure</t>
        </is>
      </c>
      <c r="F392" s="7" t="inlineStr">
        <is>
          <t>P0</t>
        </is>
      </c>
      <c r="G392" s="7" t="inlineStr">
        <is>
          <t>Expand Backtest Sessions.</t>
        </is>
      </c>
      <c r="H392" s="7" t="inlineStr">
        <is>
          <t>—</t>
        </is>
      </c>
      <c r="I392" s="7" t="inlineStr">
        <is>
          <t>Standard and Prop Firm children.</t>
        </is>
      </c>
      <c r="J392" s="7" t="inlineStr">
        <is>
          <t>— Not tested</t>
        </is>
      </c>
      <c r="K392" s="7" t="inlineStr">
        <is>
          <t>— Not tested</t>
        </is>
      </c>
      <c r="L392" s="7" t="inlineStr">
        <is>
          <t>— Not tested</t>
        </is>
      </c>
    </row>
    <row r="393">
      <c r="A393" s="10" t="n">
        <v>392</v>
      </c>
      <c r="B393" s="10" t="inlineStr">
        <is>
          <t>4 — Sources</t>
        </is>
      </c>
      <c r="C393" s="10" t="n">
        <v>36</v>
      </c>
      <c r="D393" s="10" t="inlineStr">
        <is>
          <t>Sources — Tree Navigation</t>
        </is>
      </c>
      <c r="E393" s="7" t="inlineStr">
        <is>
          <t>Structure</t>
        </is>
      </c>
      <c r="F393" s="7" t="inlineStr">
        <is>
          <t>P0</t>
        </is>
      </c>
      <c r="G393" s="7" t="inlineStr">
        <is>
          <t>Expand Standard under Backtests.</t>
        </is>
      </c>
      <c r="H393" s="7" t="inlineStr">
        <is>
          <t>—</t>
        </is>
      </c>
      <c r="I393" s="7" t="inlineStr">
        <is>
          <t>Standard sessions listed.</t>
        </is>
      </c>
      <c r="J393" s="7" t="inlineStr">
        <is>
          <t>— Not tested</t>
        </is>
      </c>
      <c r="K393" s="7" t="inlineStr">
        <is>
          <t>— Not tested</t>
        </is>
      </c>
      <c r="L393" s="7" t="inlineStr">
        <is>
          <t>— Not tested</t>
        </is>
      </c>
    </row>
    <row r="394">
      <c r="A394" s="10" t="n">
        <v>393</v>
      </c>
      <c r="B394" s="10" t="inlineStr">
        <is>
          <t>4 — Sources</t>
        </is>
      </c>
      <c r="C394" s="10" t="n">
        <v>36</v>
      </c>
      <c r="D394" s="10" t="inlineStr">
        <is>
          <t>Sources — Tree Navigation</t>
        </is>
      </c>
      <c r="E394" s="7" t="inlineStr">
        <is>
          <t>Structure</t>
        </is>
      </c>
      <c r="F394" s="7" t="inlineStr">
        <is>
          <t>P0</t>
        </is>
      </c>
      <c r="G394" s="7" t="inlineStr">
        <is>
          <t>Expand Prop Firm under Backtests.</t>
        </is>
      </c>
      <c r="H394" s="7" t="inlineStr">
        <is>
          <t>—</t>
        </is>
      </c>
      <c r="I394" s="7" t="inlineStr">
        <is>
          <t>Prop sessions listed.</t>
        </is>
      </c>
      <c r="J394" s="7" t="inlineStr">
        <is>
          <t>— Not tested</t>
        </is>
      </c>
      <c r="K394" s="7" t="inlineStr">
        <is>
          <t>— Not tested</t>
        </is>
      </c>
      <c r="L394" s="7" t="inlineStr">
        <is>
          <t>— Not tested</t>
        </is>
      </c>
    </row>
    <row r="395">
      <c r="A395" s="10" t="n">
        <v>394</v>
      </c>
      <c r="B395" s="10" t="inlineStr">
        <is>
          <t>4 — Sources</t>
        </is>
      </c>
      <c r="C395" s="10" t="n">
        <v>36</v>
      </c>
      <c r="D395" s="10" t="inlineStr">
        <is>
          <t>Sources — Tree Navigation</t>
        </is>
      </c>
      <c r="E395" s="7" t="inlineStr">
        <is>
          <t>Structure</t>
        </is>
      </c>
      <c r="F395" s="7" t="inlineStr">
        <is>
          <t>P0</t>
        </is>
      </c>
      <c r="G395" s="7" t="inlineStr">
        <is>
          <t>Expand Live Journals.</t>
        </is>
      </c>
      <c r="H395" s="7" t="inlineStr">
        <is>
          <t>—</t>
        </is>
      </c>
      <c r="I395" s="7" t="inlineStr">
        <is>
          <t>Personal and Prop children.</t>
        </is>
      </c>
      <c r="J395" s="7" t="inlineStr">
        <is>
          <t>— Not tested</t>
        </is>
      </c>
      <c r="K395" s="7" t="inlineStr">
        <is>
          <t>— Not tested</t>
        </is>
      </c>
      <c r="L395" s="7" t="inlineStr">
        <is>
          <t>— Not tested</t>
        </is>
      </c>
    </row>
    <row r="396">
      <c r="A396" s="10" t="n">
        <v>395</v>
      </c>
      <c r="B396" s="10" t="inlineStr">
        <is>
          <t>4 — Sources</t>
        </is>
      </c>
      <c r="C396" s="10" t="n">
        <v>36</v>
      </c>
      <c r="D396" s="10" t="inlineStr">
        <is>
          <t>Sources — Tree Navigation</t>
        </is>
      </c>
      <c r="E396" s="7" t="inlineStr">
        <is>
          <t>Structure</t>
        </is>
      </c>
      <c r="F396" s="7" t="inlineStr">
        <is>
          <t>P1</t>
        </is>
      </c>
      <c r="G396" s="7" t="inlineStr">
        <is>
          <t>Expand Strategies tree node.</t>
        </is>
      </c>
      <c r="H396" s="7" t="inlineStr">
        <is>
          <t>—</t>
        </is>
      </c>
      <c r="I396" s="7" t="inlineStr">
        <is>
          <t>Strategy groups with children.</t>
        </is>
      </c>
      <c r="J396" s="7" t="inlineStr">
        <is>
          <t>— Not tested</t>
        </is>
      </c>
      <c r="K396" s="7" t="inlineStr">
        <is>
          <t>— Not tested</t>
        </is>
      </c>
      <c r="L396" s="7" t="inlineStr">
        <is>
          <t>— Not tested</t>
        </is>
      </c>
    </row>
    <row r="397">
      <c r="A397" s="10" t="n">
        <v>396</v>
      </c>
      <c r="B397" s="10" t="inlineStr">
        <is>
          <t>4 — Sources</t>
        </is>
      </c>
      <c r="C397" s="10" t="n">
        <v>36</v>
      </c>
      <c r="D397" s="10" t="inlineStr">
        <is>
          <t>Sources — Tree Navigation</t>
        </is>
      </c>
      <c r="E397" s="7" t="inlineStr">
        <is>
          <t>Structure</t>
        </is>
      </c>
      <c r="F397" s="7" t="inlineStr">
        <is>
          <t>P2</t>
        </is>
      </c>
      <c r="G397" s="7" t="inlineStr">
        <is>
          <t>Collapse all then re-expand.</t>
        </is>
      </c>
      <c r="H397" s="7" t="inlineStr">
        <is>
          <t>—</t>
        </is>
      </c>
      <c r="I397" s="7" t="inlineStr">
        <is>
          <t>State consistent.</t>
        </is>
      </c>
      <c r="J397" s="7" t="inlineStr">
        <is>
          <t>— Not tested</t>
        </is>
      </c>
      <c r="K397" s="7" t="inlineStr">
        <is>
          <t>— Not tested</t>
        </is>
      </c>
      <c r="L397" s="7" t="inlineStr">
        <is>
          <t>— Not tested</t>
        </is>
      </c>
    </row>
    <row r="398">
      <c r="A398" s="10" t="n">
        <v>397</v>
      </c>
      <c r="B398" s="10" t="inlineStr">
        <is>
          <t>4 — Sources</t>
        </is>
      </c>
      <c r="C398" s="10" t="n">
        <v>37</v>
      </c>
      <c r="D398" s="10" t="inlineStr">
        <is>
          <t>Sources — Filter Matrix (Backtests)</t>
        </is>
      </c>
      <c r="E398" s="7" t="inlineStr">
        <is>
          <t>Configuration</t>
        </is>
      </c>
      <c r="F398" s="7" t="inlineStr">
        <is>
          <t>P2</t>
        </is>
      </c>
      <c r="G398" s="7" t="inlineStr">
        <is>
          <t>Mode **Standard** + Status **All**.</t>
        </is>
      </c>
      <c r="H398" s="7" t="inlineStr">
        <is>
          <t>Standard+All</t>
        </is>
      </c>
      <c r="I398" s="7" t="inlineStr">
        <is>
          <t>List shows only matching sessions; count in footer updates.</t>
        </is>
      </c>
      <c r="J398" s="7" t="inlineStr">
        <is>
          <t>— Not tested</t>
        </is>
      </c>
      <c r="K398" s="7" t="inlineStr">
        <is>
          <t>— Not tested</t>
        </is>
      </c>
      <c r="L398" s="7" t="inlineStr">
        <is>
          <t>— Not tested</t>
        </is>
      </c>
    </row>
    <row r="399">
      <c r="A399" s="10" t="n">
        <v>398</v>
      </c>
      <c r="B399" s="10" t="inlineStr">
        <is>
          <t>4 — Sources</t>
        </is>
      </c>
      <c r="C399" s="10" t="n">
        <v>37</v>
      </c>
      <c r="D399" s="10" t="inlineStr">
        <is>
          <t>Sources — Filter Matrix (Backtests)</t>
        </is>
      </c>
      <c r="E399" s="7" t="inlineStr">
        <is>
          <t>Configuration</t>
        </is>
      </c>
      <c r="F399" s="7" t="inlineStr">
        <is>
          <t>P2</t>
        </is>
      </c>
      <c r="G399" s="7" t="inlineStr">
        <is>
          <t>Mode **Standard** + Status **Not Started**.</t>
        </is>
      </c>
      <c r="H399" s="7" t="inlineStr">
        <is>
          <t>Standard+Not Started</t>
        </is>
      </c>
      <c r="I399" s="7" t="inlineStr">
        <is>
          <t>List shows only matching sessions; count in footer updates.</t>
        </is>
      </c>
      <c r="J399" s="7" t="inlineStr">
        <is>
          <t>— Not tested</t>
        </is>
      </c>
      <c r="K399" s="7" t="inlineStr">
        <is>
          <t>— Not tested</t>
        </is>
      </c>
      <c r="L399" s="7" t="inlineStr">
        <is>
          <t>— Not tested</t>
        </is>
      </c>
    </row>
    <row r="400">
      <c r="A400" s="10" t="n">
        <v>399</v>
      </c>
      <c r="B400" s="10" t="inlineStr">
        <is>
          <t>4 — Sources</t>
        </is>
      </c>
      <c r="C400" s="10" t="n">
        <v>37</v>
      </c>
      <c r="D400" s="10" t="inlineStr">
        <is>
          <t>Sources — Filter Matrix (Backtests)</t>
        </is>
      </c>
      <c r="E400" s="7" t="inlineStr">
        <is>
          <t>Configuration</t>
        </is>
      </c>
      <c r="F400" s="7" t="inlineStr">
        <is>
          <t>P2</t>
        </is>
      </c>
      <c r="G400" s="7" t="inlineStr">
        <is>
          <t>Mode **Standard** + Status **Active**.</t>
        </is>
      </c>
      <c r="H400" s="7" t="inlineStr">
        <is>
          <t>Standard+Active</t>
        </is>
      </c>
      <c r="I400" s="7" t="inlineStr">
        <is>
          <t>List shows only matching sessions; count in footer updates.</t>
        </is>
      </c>
      <c r="J400" s="7" t="inlineStr">
        <is>
          <t>— Not tested</t>
        </is>
      </c>
      <c r="K400" s="7" t="inlineStr">
        <is>
          <t>— Not tested</t>
        </is>
      </c>
      <c r="L400" s="7" t="inlineStr">
        <is>
          <t>— Not tested</t>
        </is>
      </c>
    </row>
    <row r="401">
      <c r="A401" s="10" t="n">
        <v>400</v>
      </c>
      <c r="B401" s="10" t="inlineStr">
        <is>
          <t>4 — Sources</t>
        </is>
      </c>
      <c r="C401" s="10" t="n">
        <v>37</v>
      </c>
      <c r="D401" s="10" t="inlineStr">
        <is>
          <t>Sources — Filter Matrix (Backtests)</t>
        </is>
      </c>
      <c r="E401" s="7" t="inlineStr">
        <is>
          <t>Configuration</t>
        </is>
      </c>
      <c r="F401" s="7" t="inlineStr">
        <is>
          <t>P2</t>
        </is>
      </c>
      <c r="G401" s="7" t="inlineStr">
        <is>
          <t>Mode **Standard** + Status **Completed**.</t>
        </is>
      </c>
      <c r="H401" s="7" t="inlineStr">
        <is>
          <t>Standard+Completed</t>
        </is>
      </c>
      <c r="I401" s="7" t="inlineStr">
        <is>
          <t>List shows only matching sessions; count in footer updates.</t>
        </is>
      </c>
      <c r="J401" s="7" t="inlineStr">
        <is>
          <t>— Not tested</t>
        </is>
      </c>
      <c r="K401" s="7" t="inlineStr">
        <is>
          <t>— Not tested</t>
        </is>
      </c>
      <c r="L401" s="7" t="inlineStr">
        <is>
          <t>— Not tested</t>
        </is>
      </c>
    </row>
    <row r="402">
      <c r="A402" s="10" t="n">
        <v>401</v>
      </c>
      <c r="B402" s="10" t="inlineStr">
        <is>
          <t>4 — Sources</t>
        </is>
      </c>
      <c r="C402" s="10" t="n">
        <v>37</v>
      </c>
      <c r="D402" s="10" t="inlineStr">
        <is>
          <t>Sources — Filter Matrix (Backtests)</t>
        </is>
      </c>
      <c r="E402" s="7" t="inlineStr">
        <is>
          <t>Configuration</t>
        </is>
      </c>
      <c r="F402" s="7" t="inlineStr">
        <is>
          <t>P2</t>
        </is>
      </c>
      <c r="G402" s="7" t="inlineStr">
        <is>
          <t>Mode **Prop** + Status **All**.</t>
        </is>
      </c>
      <c r="H402" s="7" t="inlineStr">
        <is>
          <t>Prop+All</t>
        </is>
      </c>
      <c r="I402" s="7" t="inlineStr">
        <is>
          <t>List shows only matching sessions; count in footer updates.</t>
        </is>
      </c>
      <c r="J402" s="7" t="inlineStr">
        <is>
          <t>— Not tested</t>
        </is>
      </c>
      <c r="K402" s="7" t="inlineStr">
        <is>
          <t>— Not tested</t>
        </is>
      </c>
      <c r="L402" s="7" t="inlineStr">
        <is>
          <t>— Not tested</t>
        </is>
      </c>
    </row>
    <row r="403">
      <c r="A403" s="10" t="n">
        <v>402</v>
      </c>
      <c r="B403" s="10" t="inlineStr">
        <is>
          <t>4 — Sources</t>
        </is>
      </c>
      <c r="C403" s="10" t="n">
        <v>37</v>
      </c>
      <c r="D403" s="10" t="inlineStr">
        <is>
          <t>Sources — Filter Matrix (Backtests)</t>
        </is>
      </c>
      <c r="E403" s="7" t="inlineStr">
        <is>
          <t>Configuration</t>
        </is>
      </c>
      <c r="F403" s="7" t="inlineStr">
        <is>
          <t>P2</t>
        </is>
      </c>
      <c r="G403" s="7" t="inlineStr">
        <is>
          <t>Mode **Prop** + Status **Not Started**.</t>
        </is>
      </c>
      <c r="H403" s="7" t="inlineStr">
        <is>
          <t>Prop+Not Started</t>
        </is>
      </c>
      <c r="I403" s="7" t="inlineStr">
        <is>
          <t>List shows only matching sessions; count in footer updates.</t>
        </is>
      </c>
      <c r="J403" s="7" t="inlineStr">
        <is>
          <t>— Not tested</t>
        </is>
      </c>
      <c r="K403" s="7" t="inlineStr">
        <is>
          <t>— Not tested</t>
        </is>
      </c>
      <c r="L403" s="7" t="inlineStr">
        <is>
          <t>— Not tested</t>
        </is>
      </c>
    </row>
    <row r="404">
      <c r="A404" s="10" t="n">
        <v>403</v>
      </c>
      <c r="B404" s="10" t="inlineStr">
        <is>
          <t>4 — Sources</t>
        </is>
      </c>
      <c r="C404" s="10" t="n">
        <v>37</v>
      </c>
      <c r="D404" s="10" t="inlineStr">
        <is>
          <t>Sources — Filter Matrix (Backtests)</t>
        </is>
      </c>
      <c r="E404" s="7" t="inlineStr">
        <is>
          <t>Configuration</t>
        </is>
      </c>
      <c r="F404" s="7" t="inlineStr">
        <is>
          <t>P2</t>
        </is>
      </c>
      <c r="G404" s="7" t="inlineStr">
        <is>
          <t>Mode **Prop** + Status **Active**.</t>
        </is>
      </c>
      <c r="H404" s="7" t="inlineStr">
        <is>
          <t>Prop+Active</t>
        </is>
      </c>
      <c r="I404" s="7" t="inlineStr">
        <is>
          <t>List shows only matching sessions; count in footer updates.</t>
        </is>
      </c>
      <c r="J404" s="7" t="inlineStr">
        <is>
          <t>— Not tested</t>
        </is>
      </c>
      <c r="K404" s="7" t="inlineStr">
        <is>
          <t>— Not tested</t>
        </is>
      </c>
      <c r="L404" s="7" t="inlineStr">
        <is>
          <t>— Not tested</t>
        </is>
      </c>
    </row>
    <row r="405">
      <c r="A405" s="10" t="n">
        <v>404</v>
      </c>
      <c r="B405" s="10" t="inlineStr">
        <is>
          <t>4 — Sources</t>
        </is>
      </c>
      <c r="C405" s="10" t="n">
        <v>37</v>
      </c>
      <c r="D405" s="10" t="inlineStr">
        <is>
          <t>Sources — Filter Matrix (Backtests)</t>
        </is>
      </c>
      <c r="E405" s="7" t="inlineStr">
        <is>
          <t>Configuration</t>
        </is>
      </c>
      <c r="F405" s="7" t="inlineStr">
        <is>
          <t>P2</t>
        </is>
      </c>
      <c r="G405" s="7" t="inlineStr">
        <is>
          <t>Mode **Prop** + Status **Completed**.</t>
        </is>
      </c>
      <c r="H405" s="7" t="inlineStr">
        <is>
          <t>Prop+Completed</t>
        </is>
      </c>
      <c r="I405" s="7" t="inlineStr">
        <is>
          <t>List shows only matching sessions; count in footer updates.</t>
        </is>
      </c>
      <c r="J405" s="7" t="inlineStr">
        <is>
          <t>— Not tested</t>
        </is>
      </c>
      <c r="K405" s="7" t="inlineStr">
        <is>
          <t>— Not tested</t>
        </is>
      </c>
      <c r="L405" s="7" t="inlineStr">
        <is>
          <t>— Not tested</t>
        </is>
      </c>
    </row>
    <row r="406">
      <c r="A406" s="10" t="n">
        <v>405</v>
      </c>
      <c r="B406" s="10" t="inlineStr">
        <is>
          <t>4 — Sources</t>
        </is>
      </c>
      <c r="C406" s="10" t="n">
        <v>37</v>
      </c>
      <c r="D406" s="10" t="inlineStr">
        <is>
          <t>Sources — Filter Matrix (Backtests)</t>
        </is>
      </c>
      <c r="E406" s="7" t="inlineStr">
        <is>
          <t>Configuration</t>
        </is>
      </c>
      <c r="F406" s="7" t="inlineStr">
        <is>
          <t>P1</t>
        </is>
      </c>
      <c r="G406" s="7" t="inlineStr">
        <is>
          <t>Journal filter: Personal only.</t>
        </is>
      </c>
      <c r="H406" s="7" t="inlineStr">
        <is>
          <t>—</t>
        </is>
      </c>
      <c r="I406" s="7" t="inlineStr">
        <is>
          <t>Personal journal accounts.</t>
        </is>
      </c>
      <c r="J406" s="7" t="inlineStr">
        <is>
          <t>— Not tested</t>
        </is>
      </c>
      <c r="K406" s="7" t="inlineStr">
        <is>
          <t>— Not tested</t>
        </is>
      </c>
      <c r="L406" s="7" t="inlineStr">
        <is>
          <t>— Not tested</t>
        </is>
      </c>
    </row>
    <row r="407">
      <c r="A407" s="10" t="n">
        <v>406</v>
      </c>
      <c r="B407" s="10" t="inlineStr">
        <is>
          <t>4 — Sources</t>
        </is>
      </c>
      <c r="C407" s="10" t="n">
        <v>37</v>
      </c>
      <c r="D407" s="10" t="inlineStr">
        <is>
          <t>Sources — Filter Matrix (Backtests)</t>
        </is>
      </c>
      <c r="E407" s="7" t="inlineStr">
        <is>
          <t>Configuration</t>
        </is>
      </c>
      <c r="F407" s="7" t="inlineStr">
        <is>
          <t>P1</t>
        </is>
      </c>
      <c r="G407" s="7" t="inlineStr">
        <is>
          <t>Journal filter: Prop only.</t>
        </is>
      </c>
      <c r="H407" s="7" t="inlineStr">
        <is>
          <t>—</t>
        </is>
      </c>
      <c r="I407" s="7" t="inlineStr">
        <is>
          <t>Prop journal accounts.</t>
        </is>
      </c>
      <c r="J407" s="7" t="inlineStr">
        <is>
          <t>— Not tested</t>
        </is>
      </c>
      <c r="K407" s="7" t="inlineStr">
        <is>
          <t>— Not tested</t>
        </is>
      </c>
      <c r="L407" s="7" t="inlineStr">
        <is>
          <t>— Not tested</t>
        </is>
      </c>
    </row>
    <row r="408">
      <c r="A408" s="10" t="n">
        <v>407</v>
      </c>
      <c r="B408" s="10" t="inlineStr">
        <is>
          <t>4 — Sources</t>
        </is>
      </c>
      <c r="C408" s="10" t="n">
        <v>37</v>
      </c>
      <c r="D408" s="10" t="inlineStr">
        <is>
          <t>Sources — Filter Matrix (Backtests)</t>
        </is>
      </c>
      <c r="E408" s="7" t="inlineStr">
        <is>
          <t>Configuration</t>
        </is>
      </c>
      <c r="F408" s="7" t="inlineStr">
        <is>
          <t>P2</t>
        </is>
      </c>
      <c r="G408" s="7" t="inlineStr">
        <is>
          <t>Strategy view filter if present.</t>
        </is>
      </c>
      <c r="H408" s="7" t="inlineStr">
        <is>
          <t>—</t>
        </is>
      </c>
      <c r="I408" s="7" t="inlineStr">
        <is>
          <t>Filters strategy groups.</t>
        </is>
      </c>
      <c r="J408" s="7" t="inlineStr">
        <is>
          <t>— Not tested</t>
        </is>
      </c>
      <c r="K408" s="7" t="inlineStr">
        <is>
          <t>— Not tested</t>
        </is>
      </c>
      <c r="L408" s="7" t="inlineStr">
        <is>
          <t>— Not tested</t>
        </is>
      </c>
    </row>
    <row r="409">
      <c r="A409" s="10" t="n">
        <v>408</v>
      </c>
      <c r="B409" s="10" t="inlineStr">
        <is>
          <t>4 — Sources</t>
        </is>
      </c>
      <c r="C409" s="10" t="n">
        <v>38</v>
      </c>
      <c r="D409" s="10" t="inlineStr">
        <is>
          <t>Sources — Selection &amp; Footer</t>
        </is>
      </c>
      <c r="E409" s="7" t="inlineStr">
        <is>
          <t>Logic</t>
        </is>
      </c>
      <c r="F409" s="7" t="inlineStr">
        <is>
          <t>P0</t>
        </is>
      </c>
      <c r="G409" s="7" t="inlineStr">
        <is>
          <t>Single-click session row.</t>
        </is>
      </c>
      <c r="H409" s="7" t="inlineStr">
        <is>
          <t>—</t>
        </is>
      </c>
      <c r="I409" s="7" t="inlineStr">
        <is>
          <t>Row highlighted; footer updates.</t>
        </is>
      </c>
      <c r="J409" s="7" t="inlineStr">
        <is>
          <t>— Not tested</t>
        </is>
      </c>
      <c r="K409" s="7" t="inlineStr">
        <is>
          <t>— Not tested</t>
        </is>
      </c>
      <c r="L409" s="7" t="inlineStr">
        <is>
          <t>— Not tested</t>
        </is>
      </c>
    </row>
    <row r="410">
      <c r="A410" s="10" t="n">
        <v>409</v>
      </c>
      <c r="B410" s="10" t="inlineStr">
        <is>
          <t>4 — Sources</t>
        </is>
      </c>
      <c r="C410" s="10" t="n">
        <v>38</v>
      </c>
      <c r="D410" s="10" t="inlineStr">
        <is>
          <t>Sources — Selection &amp; Footer</t>
        </is>
      </c>
      <c r="E410" s="7" t="inlineStr">
        <is>
          <t>Logic</t>
        </is>
      </c>
      <c r="F410" s="7" t="inlineStr">
        <is>
          <t>P0</t>
        </is>
      </c>
      <c r="G410" s="7" t="inlineStr">
        <is>
          <t>Footer: name, type badge, trade count.</t>
        </is>
      </c>
      <c r="H410" s="7" t="inlineStr">
        <is>
          <t>—</t>
        </is>
      </c>
      <c r="I410" s="7" t="inlineStr">
        <is>
          <t>Matches selection.</t>
        </is>
      </c>
      <c r="J410" s="7" t="inlineStr">
        <is>
          <t>— Not tested</t>
        </is>
      </c>
      <c r="K410" s="7" t="inlineStr">
        <is>
          <t>— Not tested</t>
        </is>
      </c>
      <c r="L410" s="7" t="inlineStr">
        <is>
          <t>— Not tested</t>
        </is>
      </c>
    </row>
    <row r="411">
      <c r="A411" s="10" t="n">
        <v>410</v>
      </c>
      <c r="B411" s="10" t="inlineStr">
        <is>
          <t>4 — Sources</t>
        </is>
      </c>
      <c r="C411" s="10" t="n">
        <v>38</v>
      </c>
      <c r="D411" s="10" t="inlineStr">
        <is>
          <t>Sources — Selection &amp; Footer</t>
        </is>
      </c>
      <c r="E411" s="7" t="inlineStr">
        <is>
          <t>Logic</t>
        </is>
      </c>
      <c r="F411" s="7" t="inlineStr">
        <is>
          <t>P1</t>
        </is>
      </c>
      <c r="G411" s="7" t="inlineStr">
        <is>
          <t>Select strategy parent.</t>
        </is>
      </c>
      <c r="H411" s="7" t="inlineStr">
        <is>
          <t>—</t>
        </is>
      </c>
      <c r="I411" s="7" t="inlineStr">
        <is>
          <t>All children selected or prompt.</t>
        </is>
      </c>
      <c r="J411" s="7" t="inlineStr">
        <is>
          <t>— Not tested</t>
        </is>
      </c>
      <c r="K411" s="7" t="inlineStr">
        <is>
          <t>— Not tested</t>
        </is>
      </c>
      <c r="L411" s="7" t="inlineStr">
        <is>
          <t>— Not tested</t>
        </is>
      </c>
    </row>
    <row r="412">
      <c r="A412" s="10" t="n">
        <v>411</v>
      </c>
      <c r="B412" s="10" t="inlineStr">
        <is>
          <t>4 — Sources</t>
        </is>
      </c>
      <c r="C412" s="10" t="n">
        <v>38</v>
      </c>
      <c r="D412" s="10" t="inlineStr">
        <is>
          <t>Sources — Selection &amp; Footer</t>
        </is>
      </c>
      <c r="E412" s="7" t="inlineStr">
        <is>
          <t>Logic</t>
        </is>
      </c>
      <c r="F412" s="7" t="inlineStr">
        <is>
          <t>P1</t>
        </is>
      </c>
      <c r="G412" s="7" t="inlineStr">
        <is>
          <t>Uncheck 1 of 3 strategy children.</t>
        </is>
      </c>
      <c r="H412" s="7" t="inlineStr">
        <is>
          <t>partial</t>
        </is>
      </c>
      <c r="I412" s="7" t="inlineStr">
        <is>
          <t>Partial selection; N/M label.</t>
        </is>
      </c>
      <c r="J412" s="7" t="inlineStr">
        <is>
          <t>— Not tested</t>
        </is>
      </c>
      <c r="K412" s="7" t="inlineStr">
        <is>
          <t>— Not tested</t>
        </is>
      </c>
      <c r="L412" s="7" t="inlineStr">
        <is>
          <t>— Not tested</t>
        </is>
      </c>
    </row>
    <row r="413">
      <c r="A413" s="10" t="n">
        <v>412</v>
      </c>
      <c r="B413" s="10" t="inlineStr">
        <is>
          <t>4 — Sources</t>
        </is>
      </c>
      <c r="C413" s="10" t="n">
        <v>38</v>
      </c>
      <c r="D413" s="10" t="inlineStr">
        <is>
          <t>Sources — Selection &amp; Footer</t>
        </is>
      </c>
      <c r="E413" s="7" t="inlineStr">
        <is>
          <t>Logic</t>
        </is>
      </c>
      <c r="F413" s="7" t="inlineStr">
        <is>
          <t>P0</t>
        </is>
      </c>
      <c r="G413" s="7" t="inlineStr">
        <is>
          <t>Select journal account.</t>
        </is>
      </c>
      <c r="H413" s="7" t="inlineStr">
        <is>
          <t>—</t>
        </is>
      </c>
      <c r="I413" s="7" t="inlineStr">
        <is>
          <t>Green journal badge.</t>
        </is>
      </c>
      <c r="J413" s="7" t="inlineStr">
        <is>
          <t>— Not tested</t>
        </is>
      </c>
      <c r="K413" s="7" t="inlineStr">
        <is>
          <t>— Not tested</t>
        </is>
      </c>
      <c r="L413" s="7" t="inlineStr">
        <is>
          <t>— Not tested</t>
        </is>
      </c>
    </row>
    <row r="414">
      <c r="A414" s="10" t="n">
        <v>413</v>
      </c>
      <c r="B414" s="10" t="inlineStr">
        <is>
          <t>4 — Sources</t>
        </is>
      </c>
      <c r="C414" s="10" t="n">
        <v>38</v>
      </c>
      <c r="D414" s="10" t="inlineStr">
        <is>
          <t>Sources — Selection &amp; Footer</t>
        </is>
      </c>
      <c r="E414" s="7" t="inlineStr">
        <is>
          <t>Logic</t>
        </is>
      </c>
      <c r="F414" s="7" t="inlineStr">
        <is>
          <t>P2</t>
        </is>
      </c>
      <c r="G414" s="7" t="inlineStr">
        <is>
          <t>Select single journal entry (trade scope).</t>
        </is>
      </c>
      <c r="H414" s="7" t="inlineStr">
        <is>
          <t>—</t>
        </is>
      </c>
      <c r="I414" s="7" t="inlineStr">
        <is>
          <t>Trade count = 1.</t>
        </is>
      </c>
      <c r="J414" s="7" t="inlineStr">
        <is>
          <t>— Not tested</t>
        </is>
      </c>
      <c r="K414" s="7" t="inlineStr">
        <is>
          <t>— Not tested</t>
        </is>
      </c>
      <c r="L414" s="7" t="inlineStr">
        <is>
          <t>— Not tested</t>
        </is>
      </c>
    </row>
    <row r="415">
      <c r="A415" s="10" t="n">
        <v>414</v>
      </c>
      <c r="B415" s="10" t="inlineStr">
        <is>
          <t>4 — Sources</t>
        </is>
      </c>
      <c r="C415" s="10" t="n">
        <v>38</v>
      </c>
      <c r="D415" s="10" t="inlineStr">
        <is>
          <t>Sources — Selection &amp; Footer</t>
        </is>
      </c>
      <c r="E415" s="7" t="inlineStr">
        <is>
          <t>Logic</t>
        </is>
      </c>
      <c r="F415" s="7" t="inlineStr">
        <is>
          <t>P0</t>
        </is>
      </c>
      <c r="G415" s="7" t="inlineStr">
        <is>
          <t>Cancel after changing selection.</t>
        </is>
      </c>
      <c r="H415" s="7" t="inlineStr">
        <is>
          <t>—</t>
        </is>
      </c>
      <c r="I415" s="7" t="inlineStr">
        <is>
          <t>Previous applied source unchanged.</t>
        </is>
      </c>
      <c r="J415" s="7" t="inlineStr">
        <is>
          <t>— Not tested</t>
        </is>
      </c>
      <c r="K415" s="7" t="inlineStr">
        <is>
          <t>— Not tested</t>
        </is>
      </c>
      <c r="L415" s="7" t="inlineStr">
        <is>
          <t>— Not tested</t>
        </is>
      </c>
    </row>
    <row r="416">
      <c r="A416" s="10" t="n">
        <v>415</v>
      </c>
      <c r="B416" s="10" t="inlineStr">
        <is>
          <t>4 — Sources</t>
        </is>
      </c>
      <c r="C416" s="10" t="n">
        <v>38</v>
      </c>
      <c r="D416" s="10" t="inlineStr">
        <is>
          <t>Sources — Selection &amp; Footer</t>
        </is>
      </c>
      <c r="E416" s="7" t="inlineStr">
        <is>
          <t>Logic</t>
        </is>
      </c>
      <c r="F416" s="7" t="inlineStr">
        <is>
          <t>P0</t>
        </is>
      </c>
      <c r="G416" s="7" t="inlineStr">
        <is>
          <t>Go with new selection.</t>
        </is>
      </c>
      <c r="H416" s="7" t="inlineStr">
        <is>
          <t>—</t>
        </is>
      </c>
      <c r="I416" s="7" t="inlineStr">
        <is>
          <t>Dashboard reloads with new source.</t>
        </is>
      </c>
      <c r="J416" s="7" t="inlineStr">
        <is>
          <t>— Not tested</t>
        </is>
      </c>
      <c r="K416" s="7" t="inlineStr">
        <is>
          <t>— Not tested</t>
        </is>
      </c>
      <c r="L416" s="7" t="inlineStr">
        <is>
          <t>— Not tested</t>
        </is>
      </c>
    </row>
    <row r="417">
      <c r="A417" s="10" t="n">
        <v>416</v>
      </c>
      <c r="B417" s="10" t="inlineStr">
        <is>
          <t>4 — Sources</t>
        </is>
      </c>
      <c r="C417" s="10" t="n">
        <v>39</v>
      </c>
      <c r="D417" s="10" t="inlineStr">
        <is>
          <t>Sources — Go Behavior &amp; Banner</t>
        </is>
      </c>
      <c r="E417" s="7" t="inlineStr">
        <is>
          <t>Logic</t>
        </is>
      </c>
      <c r="F417" s="7" t="inlineStr">
        <is>
          <t>P0</t>
        </is>
      </c>
      <c r="G417" s="7" t="inlineStr">
        <is>
          <t>Go: backtest session → dashboard metrics.</t>
        </is>
      </c>
      <c r="H417" s="7" t="inlineStr">
        <is>
          <t>session</t>
        </is>
      </c>
      <c r="I417" s="7" t="inlineStr">
        <is>
          <t>Metrics match session trades.</t>
        </is>
      </c>
      <c r="J417" s="7" t="inlineStr">
        <is>
          <t>— Not tested</t>
        </is>
      </c>
      <c r="K417" s="7" t="inlineStr">
        <is>
          <t>— Not tested</t>
        </is>
      </c>
      <c r="L417" s="7" t="inlineStr">
        <is>
          <t>— Not tested</t>
        </is>
      </c>
    </row>
    <row r="418">
      <c r="A418" s="10" t="n">
        <v>417</v>
      </c>
      <c r="B418" s="10" t="inlineStr">
        <is>
          <t>4 — Sources</t>
        </is>
      </c>
      <c r="C418" s="10" t="n">
        <v>39</v>
      </c>
      <c r="D418" s="10" t="inlineStr">
        <is>
          <t>Sources — Go Behavior &amp; Banner</t>
        </is>
      </c>
      <c r="E418" s="7" t="inlineStr">
        <is>
          <t>Logic</t>
        </is>
      </c>
      <c r="F418" s="7" t="inlineStr">
        <is>
          <t>P1</t>
        </is>
      </c>
      <c r="G418" s="7" t="inlineStr">
        <is>
          <t>Go: strategy all children.</t>
        </is>
      </c>
      <c r="H418" s="7" t="inlineStr">
        <is>
          <t>strategy full</t>
        </is>
      </c>
      <c r="I418" s="7" t="inlineStr">
        <is>
          <t>Aggregated P&amp;L.</t>
        </is>
      </c>
      <c r="J418" s="7" t="inlineStr">
        <is>
          <t>— Not tested</t>
        </is>
      </c>
      <c r="K418" s="7" t="inlineStr">
        <is>
          <t>— Not tested</t>
        </is>
      </c>
      <c r="L418" s="7" t="inlineStr">
        <is>
          <t>— Not tested</t>
        </is>
      </c>
    </row>
    <row r="419">
      <c r="A419" s="10" t="n">
        <v>418</v>
      </c>
      <c r="B419" s="10" t="inlineStr">
        <is>
          <t>4 — Sources</t>
        </is>
      </c>
      <c r="C419" s="10" t="n">
        <v>39</v>
      </c>
      <c r="D419" s="10" t="inlineStr">
        <is>
          <t>Sources — Go Behavior &amp; Banner</t>
        </is>
      </c>
      <c r="E419" s="7" t="inlineStr">
        <is>
          <t>Logic</t>
        </is>
      </c>
      <c r="F419" s="7" t="inlineStr">
        <is>
          <t>P1</t>
        </is>
      </c>
      <c r="G419" s="7" t="inlineStr">
        <is>
          <t>Go: strategy 2 of 5 children.</t>
        </is>
      </c>
      <c r="H419" s="7" t="inlineStr">
        <is>
          <t>partial</t>
        </is>
      </c>
      <c r="I419" s="7" t="inlineStr">
        <is>
          <t>Metrics scope to 2 only.</t>
        </is>
      </c>
      <c r="J419" s="7" t="inlineStr">
        <is>
          <t>— Not tested</t>
        </is>
      </c>
      <c r="K419" s="7" t="inlineStr">
        <is>
          <t>— Not tested</t>
        </is>
      </c>
      <c r="L419" s="7" t="inlineStr">
        <is>
          <t>— Not tested</t>
        </is>
      </c>
    </row>
    <row r="420">
      <c r="A420" s="10" t="n">
        <v>419</v>
      </c>
      <c r="B420" s="10" t="inlineStr">
        <is>
          <t>4 — Sources</t>
        </is>
      </c>
      <c r="C420" s="10" t="n">
        <v>39</v>
      </c>
      <c r="D420" s="10" t="inlineStr">
        <is>
          <t>Sources — Go Behavior &amp; Banner</t>
        </is>
      </c>
      <c r="E420" s="7" t="inlineStr">
        <is>
          <t>Logic</t>
        </is>
      </c>
      <c r="F420" s="7" t="inlineStr">
        <is>
          <t>P0</t>
        </is>
      </c>
      <c r="G420" s="7" t="inlineStr">
        <is>
          <t>Go: journal account.</t>
        </is>
      </c>
      <c r="H420" s="7" t="inlineStr">
        <is>
          <t>journal</t>
        </is>
      </c>
      <c r="I420" s="7" t="inlineStr">
        <is>
          <t>All journal trades in scope.</t>
        </is>
      </c>
      <c r="J420" s="7" t="inlineStr">
        <is>
          <t>— Not tested</t>
        </is>
      </c>
      <c r="K420" s="7" t="inlineStr">
        <is>
          <t>— Not tested</t>
        </is>
      </c>
      <c r="L420" s="7" t="inlineStr">
        <is>
          <t>— Not tested</t>
        </is>
      </c>
    </row>
    <row r="421">
      <c r="A421" s="10" t="n">
        <v>420</v>
      </c>
      <c r="B421" s="10" t="inlineStr">
        <is>
          <t>4 — Sources</t>
        </is>
      </c>
      <c r="C421" s="10" t="n">
        <v>39</v>
      </c>
      <c r="D421" s="10" t="inlineStr">
        <is>
          <t>Sources — Go Behavior &amp; Banner</t>
        </is>
      </c>
      <c r="E421" s="7" t="inlineStr">
        <is>
          <t>Logic</t>
        </is>
      </c>
      <c r="F421" s="7" t="inlineStr">
        <is>
          <t>P1</t>
        </is>
      </c>
      <c r="G421" s="7" t="inlineStr">
        <is>
          <t>Banner after Go: correct type badge color.</t>
        </is>
      </c>
      <c r="H421" s="7" t="inlineStr">
        <is>
          <t>—</t>
        </is>
      </c>
      <c r="I421" s="7" t="inlineStr">
        <is>
          <t>Backtest=blue, Journal=green.</t>
        </is>
      </c>
      <c r="J421" s="7" t="inlineStr">
        <is>
          <t>— Not tested</t>
        </is>
      </c>
      <c r="K421" s="7" t="inlineStr">
        <is>
          <t>— Not tested</t>
        </is>
      </c>
      <c r="L421" s="7" t="inlineStr">
        <is>
          <t>— Not tested</t>
        </is>
      </c>
    </row>
    <row r="422">
      <c r="A422" s="10" t="n">
        <v>421</v>
      </c>
      <c r="B422" s="10" t="inlineStr">
        <is>
          <t>4 — Sources</t>
        </is>
      </c>
      <c r="C422" s="10" t="n">
        <v>39</v>
      </c>
      <c r="D422" s="10" t="inlineStr">
        <is>
          <t>Sources — Go Behavior &amp; Banner</t>
        </is>
      </c>
      <c r="E422" s="7" t="inlineStr">
        <is>
          <t>Logic</t>
        </is>
      </c>
      <c r="F422" s="7" t="inlineStr">
        <is>
          <t>P0</t>
        </is>
      </c>
      <c r="G422" s="7" t="inlineStr">
        <is>
          <t>Banner trade count matches table.</t>
        </is>
      </c>
      <c r="H422" s="7" t="inlineStr">
        <is>
          <t>—</t>
        </is>
      </c>
      <c r="I422" s="7" t="inlineStr">
        <is>
          <t>Counts equal.</t>
        </is>
      </c>
      <c r="J422" s="7" t="inlineStr">
        <is>
          <t>— Not tested</t>
        </is>
      </c>
      <c r="K422" s="7" t="inlineStr">
        <is>
          <t>— Not tested</t>
        </is>
      </c>
      <c r="L422" s="7" t="inlineStr">
        <is>
          <t>— Not tested</t>
        </is>
      </c>
    </row>
    <row r="423">
      <c r="A423" s="10" t="n">
        <v>422</v>
      </c>
      <c r="B423" s="10" t="inlineStr">
        <is>
          <t>4 — Sources</t>
        </is>
      </c>
      <c r="C423" s="10" t="n">
        <v>39</v>
      </c>
      <c r="D423" s="10" t="inlineStr">
        <is>
          <t>Sources — Go Behavior &amp; Banner</t>
        </is>
      </c>
      <c r="E423" s="7" t="inlineStr">
        <is>
          <t>Logic</t>
        </is>
      </c>
      <c r="F423" s="7" t="inlineStr">
        <is>
          <t>P2</t>
        </is>
      </c>
      <c r="G423" s="7" t="inlineStr">
        <is>
          <t>Empty journal: Create Journal CTA.</t>
        </is>
      </c>
      <c r="H423" s="7" t="inlineStr">
        <is>
          <t>—</t>
        </is>
      </c>
      <c r="I423" s="7" t="inlineStr">
        <is>
          <t>Button works.</t>
        </is>
      </c>
      <c r="J423" s="7" t="inlineStr">
        <is>
          <t>— Not tested</t>
        </is>
      </c>
      <c r="K423" s="7" t="inlineStr">
        <is>
          <t>— Not tested</t>
        </is>
      </c>
      <c r="L423" s="7" t="inlineStr">
        <is>
          <t>— Not tested</t>
        </is>
      </c>
    </row>
    <row r="424">
      <c r="A424" s="10" t="n">
        <v>423</v>
      </c>
      <c r="B424" s="10" t="inlineStr">
        <is>
          <t>4 — Sources</t>
        </is>
      </c>
      <c r="C424" s="10" t="n">
        <v>39</v>
      </c>
      <c r="D424" s="10" t="inlineStr">
        <is>
          <t>Sources — Go Behavior &amp; Banner</t>
        </is>
      </c>
      <c r="E424" s="7" t="inlineStr">
        <is>
          <t>Logic</t>
        </is>
      </c>
      <c r="F424" s="7" t="inlineStr">
        <is>
          <t>P2</t>
        </is>
      </c>
      <c r="G424" s="7" t="inlineStr">
        <is>
          <t>Empty journal: Add Trade CTA.</t>
        </is>
      </c>
      <c r="H424" s="7" t="inlineStr">
        <is>
          <t>—</t>
        </is>
      </c>
      <c r="I424" s="7" t="inlineStr">
        <is>
          <t>Opens add trade.</t>
        </is>
      </c>
      <c r="J424" s="7" t="inlineStr">
        <is>
          <t>— Not tested</t>
        </is>
      </c>
      <c r="K424" s="7" t="inlineStr">
        <is>
          <t>— Not tested</t>
        </is>
      </c>
      <c r="L424" s="7" t="inlineStr">
        <is>
          <t>— Not tested</t>
        </is>
      </c>
    </row>
    <row r="425">
      <c r="A425" s="10" t="n">
        <v>424</v>
      </c>
      <c r="B425" s="10" t="inlineStr">
        <is>
          <t>4 — Sources</t>
        </is>
      </c>
      <c r="C425" s="10" t="n">
        <v>40</v>
      </c>
      <c r="D425" s="10" t="inlineStr">
        <is>
          <t>Sources — Header Actions &amp; Compare</t>
        </is>
      </c>
      <c r="E425" s="7" t="inlineStr">
        <is>
          <t>Configuration</t>
        </is>
      </c>
      <c r="F425" s="7" t="inlineStr">
        <is>
          <t>P1</t>
        </is>
      </c>
      <c r="G425" s="7" t="inlineStr">
        <is>
          <t>Library header Create Session.</t>
        </is>
      </c>
      <c r="H425" s="7" t="inlineStr">
        <is>
          <t>—</t>
        </is>
      </c>
      <c r="I425" s="7" t="inlineStr">
        <is>
          <t>New session flow.</t>
        </is>
      </c>
      <c r="J425" s="7" t="inlineStr">
        <is>
          <t>— Not tested</t>
        </is>
      </c>
      <c r="K425" s="7" t="inlineStr">
        <is>
          <t>— Not tested</t>
        </is>
      </c>
      <c r="L425" s="7" t="inlineStr">
        <is>
          <t>— Not tested</t>
        </is>
      </c>
    </row>
    <row r="426">
      <c r="A426" s="10" t="n">
        <v>425</v>
      </c>
      <c r="B426" s="10" t="inlineStr">
        <is>
          <t>4 — Sources</t>
        </is>
      </c>
      <c r="C426" s="10" t="n">
        <v>40</v>
      </c>
      <c r="D426" s="10" t="inlineStr">
        <is>
          <t>Sources — Header Actions &amp; Compare</t>
        </is>
      </c>
      <c r="E426" s="7" t="inlineStr">
        <is>
          <t>Configuration</t>
        </is>
      </c>
      <c r="F426" s="7" t="inlineStr">
        <is>
          <t>P1</t>
        </is>
      </c>
      <c r="G426" s="7" t="inlineStr">
        <is>
          <t>Library header Create Journal.</t>
        </is>
      </c>
      <c r="H426" s="7" t="inlineStr">
        <is>
          <t>—</t>
        </is>
      </c>
      <c r="I426" s="7" t="inlineStr">
        <is>
          <t>Journal modal.</t>
        </is>
      </c>
      <c r="J426" s="7" t="inlineStr">
        <is>
          <t>— Not tested</t>
        </is>
      </c>
      <c r="K426" s="7" t="inlineStr">
        <is>
          <t>— Not tested</t>
        </is>
      </c>
      <c r="L426" s="7" t="inlineStr">
        <is>
          <t>— Not tested</t>
        </is>
      </c>
    </row>
    <row r="427">
      <c r="A427" s="10" t="n">
        <v>426</v>
      </c>
      <c r="B427" s="10" t="inlineStr">
        <is>
          <t>4 — Sources</t>
        </is>
      </c>
      <c r="C427" s="10" t="n">
        <v>40</v>
      </c>
      <c r="D427" s="10" t="inlineStr">
        <is>
          <t>Sources — Header Actions &amp; Compare</t>
        </is>
      </c>
      <c r="E427" s="7" t="inlineStr">
        <is>
          <t>Configuration</t>
        </is>
      </c>
      <c r="F427" s="7" t="inlineStr">
        <is>
          <t>P1</t>
        </is>
      </c>
      <c r="G427" s="7" t="inlineStr">
        <is>
          <t>Library header Add Trade.</t>
        </is>
      </c>
      <c r="H427" s="7" t="inlineStr">
        <is>
          <t>—</t>
        </is>
      </c>
      <c r="I427" s="7" t="inlineStr">
        <is>
          <t>Add trade picker.</t>
        </is>
      </c>
      <c r="J427" s="7" t="inlineStr">
        <is>
          <t>— Not tested</t>
        </is>
      </c>
      <c r="K427" s="7" t="inlineStr">
        <is>
          <t>— Not tested</t>
        </is>
      </c>
      <c r="L427" s="7" t="inlineStr">
        <is>
          <t>— Not tested</t>
        </is>
      </c>
    </row>
    <row r="428">
      <c r="A428" s="10" t="n">
        <v>427</v>
      </c>
      <c r="B428" s="10" t="inlineStr">
        <is>
          <t>4 — Sources</t>
        </is>
      </c>
      <c r="C428" s="10" t="n">
        <v>40</v>
      </c>
      <c r="D428" s="10" t="inlineStr">
        <is>
          <t>Sources — Header Actions &amp; Compare</t>
        </is>
      </c>
      <c r="E428" s="7" t="inlineStr">
        <is>
          <t>Configuration</t>
        </is>
      </c>
      <c r="F428" s="7" t="inlineStr">
        <is>
          <t>P1</t>
        </is>
      </c>
      <c r="G428" s="7" t="inlineStr">
        <is>
          <t>Compare mode: select 2 backtest sessions.</t>
        </is>
      </c>
      <c r="H428" s="7" t="inlineStr">
        <is>
          <t>2 sessions</t>
        </is>
      </c>
      <c r="I428" s="7" t="inlineStr">
        <is>
          <t>Compare chip shows both.</t>
        </is>
      </c>
      <c r="J428" s="7" t="inlineStr">
        <is>
          <t>— Not tested</t>
        </is>
      </c>
      <c r="K428" s="7" t="inlineStr">
        <is>
          <t>— Not tested</t>
        </is>
      </c>
      <c r="L428" s="7" t="inlineStr">
        <is>
          <t>— Not tested</t>
        </is>
      </c>
    </row>
    <row r="429">
      <c r="A429" s="10" t="n">
        <v>428</v>
      </c>
      <c r="B429" s="10" t="inlineStr">
        <is>
          <t>4 — Sources</t>
        </is>
      </c>
      <c r="C429" s="10" t="n">
        <v>40</v>
      </c>
      <c r="D429" s="10" t="inlineStr">
        <is>
          <t>Sources — Header Actions &amp; Compare</t>
        </is>
      </c>
      <c r="E429" s="7" t="inlineStr">
        <is>
          <t>Configuration</t>
        </is>
      </c>
      <c r="F429" s="7" t="inlineStr">
        <is>
          <t>P2</t>
        </is>
      </c>
      <c r="G429" s="7" t="inlineStr">
        <is>
          <t>Compare: 3+ sources if multi-select.</t>
        </is>
      </c>
      <c r="H429" s="7" t="inlineStr">
        <is>
          <t>3+</t>
        </is>
      </c>
      <c r="I429" s="7" t="inlineStr">
        <is>
          <t>All active.</t>
        </is>
      </c>
      <c r="J429" s="7" t="inlineStr">
        <is>
          <t>— Not tested</t>
        </is>
      </c>
      <c r="K429" s="7" t="inlineStr">
        <is>
          <t>— Not tested</t>
        </is>
      </c>
      <c r="L429" s="7" t="inlineStr">
        <is>
          <t>— Not tested</t>
        </is>
      </c>
    </row>
    <row r="430">
      <c r="A430" s="10" t="n">
        <v>429</v>
      </c>
      <c r="B430" s="10" t="inlineStr">
        <is>
          <t>4 — Sources</t>
        </is>
      </c>
      <c r="C430" s="10" t="n">
        <v>40</v>
      </c>
      <c r="D430" s="10" t="inlineStr">
        <is>
          <t>Sources — Header Actions &amp; Compare</t>
        </is>
      </c>
      <c r="E430" s="7" t="inlineStr">
        <is>
          <t>Configuration</t>
        </is>
      </c>
      <c r="F430" s="7" t="inlineStr">
        <is>
          <t>P2</t>
        </is>
      </c>
      <c r="G430" s="7" t="inlineStr">
        <is>
          <t>Compare filters separate from main.</t>
        </is>
      </c>
      <c r="H430" s="7" t="inlineStr">
        <is>
          <t>—</t>
        </is>
      </c>
      <c r="I430" s="7" t="inlineStr">
        <is>
          <t>Compare scope independent.</t>
        </is>
      </c>
      <c r="J430" s="7" t="inlineStr">
        <is>
          <t>— Not tested</t>
        </is>
      </c>
      <c r="K430" s="7" t="inlineStr">
        <is>
          <t>— Not tested</t>
        </is>
      </c>
      <c r="L430" s="7" t="inlineStr">
        <is>
          <t>— Not tested</t>
        </is>
      </c>
    </row>
    <row r="431">
      <c r="A431" s="10" t="n">
        <v>430</v>
      </c>
      <c r="B431" s="10" t="inlineStr">
        <is>
          <t>4 — Sources</t>
        </is>
      </c>
      <c r="C431" s="10" t="n">
        <v>40</v>
      </c>
      <c r="D431" s="10" t="inlineStr">
        <is>
          <t>Sources — Header Actions &amp; Compare</t>
        </is>
      </c>
      <c r="E431" s="7" t="inlineStr">
        <is>
          <t>Configuration</t>
        </is>
      </c>
      <c r="F431" s="7" t="inlineStr">
        <is>
          <t>P1</t>
        </is>
      </c>
      <c r="G431" s="7" t="inlineStr">
        <is>
          <t>Clear compare trash icon.</t>
        </is>
      </c>
      <c r="H431" s="7" t="inlineStr">
        <is>
          <t>—</t>
        </is>
      </c>
      <c r="I431" s="7" t="inlineStr">
        <is>
          <t>Exits compare; single source.</t>
        </is>
      </c>
      <c r="J431" s="7" t="inlineStr">
        <is>
          <t>— Not tested</t>
        </is>
      </c>
      <c r="K431" s="7" t="inlineStr">
        <is>
          <t>— Not tested</t>
        </is>
      </c>
      <c r="L431" s="7" t="inlineStr">
        <is>
          <t>— Not tested</t>
        </is>
      </c>
    </row>
    <row r="432">
      <c r="A432" s="10" t="n">
        <v>431</v>
      </c>
      <c r="B432" s="10" t="inlineStr">
        <is>
          <t>4 — Sources</t>
        </is>
      </c>
      <c r="C432" s="10" t="n">
        <v>40</v>
      </c>
      <c r="D432" s="10" t="inlineStr">
        <is>
          <t>Sources — Header Actions &amp; Compare</t>
        </is>
      </c>
      <c r="E432" s="7" t="inlineStr">
        <is>
          <t>Configuration</t>
        </is>
      </c>
      <c r="F432" s="7" t="inlineStr">
        <is>
          <t>P1</t>
        </is>
      </c>
      <c r="G432" s="7" t="inlineStr">
        <is>
          <t>Dashboard metrics under compare.</t>
        </is>
      </c>
      <c r="H432" s="7" t="inlineStr">
        <is>
          <t>—</t>
        </is>
      </c>
      <c r="I432" s="7" t="inlineStr">
        <is>
          <t>Side-by-side or combined view correct.</t>
        </is>
      </c>
      <c r="J432" s="7" t="inlineStr">
        <is>
          <t>— Not tested</t>
        </is>
      </c>
      <c r="K432" s="7" t="inlineStr">
        <is>
          <t>— Not tested</t>
        </is>
      </c>
      <c r="L432" s="7" t="inlineStr">
        <is>
          <t>— Not tested</t>
        </is>
      </c>
    </row>
    <row r="433">
      <c r="A433" s="10" t="n">
        <v>432</v>
      </c>
      <c r="B433" s="10" t="inlineStr">
        <is>
          <t>4 — Sources</t>
        </is>
      </c>
      <c r="C433" s="10" t="n">
        <v>41</v>
      </c>
      <c r="D433" s="10" t="inlineStr">
        <is>
          <t>Cross-Section Integration</t>
        </is>
      </c>
      <c r="E433" s="7" t="inlineStr">
        <is>
          <t>Logic</t>
        </is>
      </c>
      <c r="F433" s="7" t="inlineStr">
        <is>
          <t>P0</t>
        </is>
      </c>
      <c r="G433" s="7" t="inlineStr">
        <is>
          <t>Strategy ⋯ New Session → complete modal → Start.</t>
        </is>
      </c>
      <c r="H433" s="7" t="inlineStr">
        <is>
          <t>—</t>
        </is>
      </c>
      <c r="I433" s="7" t="inlineStr">
        <is>
          <t>Chart opens with strategy linked.</t>
        </is>
      </c>
      <c r="J433" s="7" t="inlineStr">
        <is>
          <t>— Not tested</t>
        </is>
      </c>
      <c r="K433" s="7" t="inlineStr">
        <is>
          <t>— Not tested</t>
        </is>
      </c>
      <c r="L433" s="7" t="inlineStr">
        <is>
          <t>— Not tested</t>
        </is>
      </c>
    </row>
    <row r="434">
      <c r="A434" s="10" t="n">
        <v>433</v>
      </c>
      <c r="B434" s="10" t="inlineStr">
        <is>
          <t>4 — Sources</t>
        </is>
      </c>
      <c r="C434" s="10" t="n">
        <v>41</v>
      </c>
      <c r="D434" s="10" t="inlineStr">
        <is>
          <t>Cross-Section Integration</t>
        </is>
      </c>
      <c r="E434" s="7" t="inlineStr">
        <is>
          <t>Logic</t>
        </is>
      </c>
      <c r="F434" s="7" t="inlineStr">
        <is>
          <t>P0</t>
        </is>
      </c>
      <c r="G434" s="7" t="inlineStr">
        <is>
          <t>Session Resume → place trade in chart → see in Trades.</t>
        </is>
      </c>
      <c r="H434" s="7" t="inlineStr">
        <is>
          <t>—</t>
        </is>
      </c>
      <c r="I434" s="7" t="inlineStr">
        <is>
          <t>Trade appears in table.</t>
        </is>
      </c>
      <c r="J434" s="7" t="inlineStr">
        <is>
          <t>— Not tested</t>
        </is>
      </c>
      <c r="K434" s="7" t="inlineStr">
        <is>
          <t>— Not tested</t>
        </is>
      </c>
      <c r="L434" s="7" t="inlineStr">
        <is>
          <t>— Not tested</t>
        </is>
      </c>
    </row>
    <row r="435">
      <c r="A435" s="10" t="n">
        <v>434</v>
      </c>
      <c r="B435" s="10" t="inlineStr">
        <is>
          <t>4 — Sources</t>
        </is>
      </c>
      <c r="C435" s="10" t="n">
        <v>41</v>
      </c>
      <c r="D435" s="10" t="inlineStr">
        <is>
          <t>Cross-Section Integration</t>
        </is>
      </c>
      <c r="E435" s="7" t="inlineStr">
        <is>
          <t>Logic</t>
        </is>
      </c>
      <c r="F435" s="7" t="inlineStr">
        <is>
          <t>P0</t>
        </is>
      </c>
      <c r="G435" s="7" t="inlineStr">
        <is>
          <t>Sources Go → Trades tab: same trade count.</t>
        </is>
      </c>
      <c r="H435" s="7" t="inlineStr">
        <is>
          <t>—</t>
        </is>
      </c>
      <c r="I435" s="7" t="inlineStr">
        <is>
          <t>Consistent scope.</t>
        </is>
      </c>
      <c r="J435" s="7" t="inlineStr">
        <is>
          <t>— Not tested</t>
        </is>
      </c>
      <c r="K435" s="7" t="inlineStr">
        <is>
          <t>— Not tested</t>
        </is>
      </c>
      <c r="L435" s="7" t="inlineStr">
        <is>
          <t>— Not tested</t>
        </is>
      </c>
    </row>
    <row r="436">
      <c r="A436" s="10" t="n">
        <v>435</v>
      </c>
      <c r="B436" s="10" t="inlineStr">
        <is>
          <t>4 — Sources</t>
        </is>
      </c>
      <c r="C436" s="10" t="n">
        <v>41</v>
      </c>
      <c r="D436" s="10" t="inlineStr">
        <is>
          <t>Cross-Section Integration</t>
        </is>
      </c>
      <c r="E436" s="7" t="inlineStr">
        <is>
          <t>Logic</t>
        </is>
      </c>
      <c r="F436" s="7" t="inlineStr">
        <is>
          <t>P1</t>
        </is>
      </c>
      <c r="G436" s="7" t="inlineStr">
        <is>
          <t>Add Trade tags from strategy builder → visible on trade row.</t>
        </is>
      </c>
      <c r="H436" s="7" t="inlineStr">
        <is>
          <t>—</t>
        </is>
      </c>
      <c r="I436" s="7" t="inlineStr">
        <is>
          <t>Tag presets match.</t>
        </is>
      </c>
      <c r="J436" s="7" t="inlineStr">
        <is>
          <t>— Not tested</t>
        </is>
      </c>
      <c r="K436" s="7" t="inlineStr">
        <is>
          <t>— Not tested</t>
        </is>
      </c>
      <c r="L436" s="7" t="inlineStr">
        <is>
          <t>— Not tested</t>
        </is>
      </c>
    </row>
    <row r="437">
      <c r="A437" s="10" t="n">
        <v>436</v>
      </c>
      <c r="B437" s="10" t="inlineStr">
        <is>
          <t>4 — Sources</t>
        </is>
      </c>
      <c r="C437" s="10" t="n">
        <v>41</v>
      </c>
      <c r="D437" s="10" t="inlineStr">
        <is>
          <t>Cross-Section Integration</t>
        </is>
      </c>
      <c r="E437" s="7" t="inlineStr">
        <is>
          <t>Logic</t>
        </is>
      </c>
      <c r="F437" s="7" t="inlineStr">
        <is>
          <t>P0</t>
        </is>
      </c>
      <c r="G437" s="7" t="inlineStr">
        <is>
          <t>Full loop: Build strategy → New session → Resume → Add manual trade → Sources verify.</t>
        </is>
      </c>
      <c r="H437" s="7" t="inlineStr">
        <is>
          <t>end-to-end</t>
        </is>
      </c>
      <c r="I437" s="7" t="inlineStr">
        <is>
          <t>All sections consistent.</t>
        </is>
      </c>
      <c r="J437" s="7" t="inlineStr">
        <is>
          <t>— Not tested</t>
        </is>
      </c>
      <c r="K437" s="7" t="inlineStr">
        <is>
          <t>— Not tested</t>
        </is>
      </c>
      <c r="L437" s="7" t="inlineStr">
        <is>
          <t>— Not tested</t>
        </is>
      </c>
    </row>
    <row r="438">
      <c r="A438" s="8" t="n">
        <v>437</v>
      </c>
      <c r="B438" s="8" t="inlineStr">
        <is>
          <t>2 — Sessions</t>
        </is>
      </c>
      <c r="C438" s="8" t="n">
        <v>42</v>
      </c>
      <c r="D438" s="8" t="inlineStr">
        <is>
          <t>Sessions — Visual Structure per Mode</t>
        </is>
      </c>
      <c r="E438" s="7" t="inlineStr">
        <is>
          <t>Structure</t>
        </is>
      </c>
      <c r="F438" s="7" t="inlineStr">
        <is>
          <t>P1</t>
        </is>
      </c>
      <c r="G438" s="7" t="inlineStr">
        <is>
          <t>Open **Standard backtest** session card in Cards view.</t>
        </is>
      </c>
      <c r="H438" s="7" t="inlineStr">
        <is>
          <t>Standard backtest</t>
        </is>
      </c>
      <c r="I438" s="7" t="inlineStr">
        <is>
          <t>Card shows correct blue/std styling, date range bar, rollback/costs chips; progress bar 0–100%.</t>
        </is>
      </c>
      <c r="J438" s="7" t="inlineStr">
        <is>
          <t>— Not tested</t>
        </is>
      </c>
      <c r="K438" s="7" t="inlineStr">
        <is>
          <t>— Not tested</t>
        </is>
      </c>
      <c r="L438" s="7" t="inlineStr">
        <is>
          <t>— Not tested</t>
        </is>
      </c>
    </row>
    <row r="439">
      <c r="A439" s="8" t="n">
        <v>438</v>
      </c>
      <c r="B439" s="8" t="inlineStr">
        <is>
          <t>2 — Sessions</t>
        </is>
      </c>
      <c r="C439" s="8" t="n">
        <v>42</v>
      </c>
      <c r="D439" s="8" t="inlineStr">
        <is>
          <t>Sessions — Visual Structure per Mode</t>
        </is>
      </c>
      <c r="E439" s="7" t="inlineStr">
        <is>
          <t>Structure</t>
        </is>
      </c>
      <c r="F439" s="7" t="inlineStr">
        <is>
          <t>P1</t>
        </is>
      </c>
      <c r="G439" s="7" t="inlineStr">
        <is>
          <t>Open **Prop Firm backtest** session card in Cards view.</t>
        </is>
      </c>
      <c r="H439" s="7" t="inlineStr">
        <is>
          <t>Prop Firm backtest</t>
        </is>
      </c>
      <c r="I439" s="7" t="inlineStr">
        <is>
          <t>Card shows correct gold styling, prop badge, firm name if shown; progress bar 0–100%.</t>
        </is>
      </c>
      <c r="J439" s="7" t="inlineStr">
        <is>
          <t>— Not tested</t>
        </is>
      </c>
      <c r="K439" s="7" t="inlineStr">
        <is>
          <t>— Not tested</t>
        </is>
      </c>
      <c r="L439" s="7" t="inlineStr">
        <is>
          <t>— Not tested</t>
        </is>
      </c>
    </row>
    <row r="440">
      <c r="A440" s="8" t="n">
        <v>439</v>
      </c>
      <c r="B440" s="8" t="inlineStr">
        <is>
          <t>2 — Sessions</t>
        </is>
      </c>
      <c r="C440" s="8" t="n">
        <v>42</v>
      </c>
      <c r="D440" s="8" t="inlineStr">
        <is>
          <t>Sessions — Visual Structure per Mode</t>
        </is>
      </c>
      <c r="E440" s="7" t="inlineStr">
        <is>
          <t>Structure</t>
        </is>
      </c>
      <c r="F440" s="7" t="inlineStr">
        <is>
          <t>P1</t>
        </is>
      </c>
      <c r="G440" s="7" t="inlineStr">
        <is>
          <t>Open **Journal session** session card in Cards view.</t>
        </is>
      </c>
      <c r="H440" s="7" t="inlineStr">
        <is>
          <t>Journal session</t>
        </is>
      </c>
      <c r="I440" s="7" t="inlineStr">
        <is>
          <t>Card shows correct green styling, 'Live · since' or manual label; progress bar 0–100%.</t>
        </is>
      </c>
      <c r="J440" s="7" t="inlineStr">
        <is>
          <t>— Not tested</t>
        </is>
      </c>
      <c r="K440" s="7" t="inlineStr">
        <is>
          <t>— Not tested</t>
        </is>
      </c>
      <c r="L440" s="7" t="inlineStr">
        <is>
          <t>— Not tested</t>
        </is>
      </c>
    </row>
    <row r="441">
      <c r="A441" s="8" t="n">
        <v>440</v>
      </c>
      <c r="B441" s="8" t="inlineStr">
        <is>
          <t>2 — Sessions</t>
        </is>
      </c>
      <c r="C441" s="8" t="n">
        <v>42</v>
      </c>
      <c r="D441" s="8" t="inlineStr">
        <is>
          <t>Sessions — Visual Structure per Mode</t>
        </is>
      </c>
      <c r="E441" s="7" t="inlineStr">
        <is>
          <t>Structure</t>
        </is>
      </c>
      <c r="F441" s="7" t="inlineStr">
        <is>
          <t>P1</t>
        </is>
      </c>
      <c r="G441" s="7" t="inlineStr">
        <is>
          <t>Rows view: verify column headers align with data.</t>
        </is>
      </c>
      <c r="H441" s="7" t="inlineStr">
        <is>
          <t>—</t>
        </is>
      </c>
      <c r="I441" s="7" t="inlineStr">
        <is>
          <t>No column shift on horizontal scroll.</t>
        </is>
      </c>
      <c r="J441" s="7" t="inlineStr">
        <is>
          <t>— Not tested</t>
        </is>
      </c>
      <c r="K441" s="7" t="inlineStr">
        <is>
          <t>— Not tested</t>
        </is>
      </c>
      <c r="L441" s="7" t="inlineStr">
        <is>
          <t>— Not tested</t>
        </is>
      </c>
    </row>
    <row r="442">
      <c r="A442" s="8" t="n">
        <v>441</v>
      </c>
      <c r="B442" s="8" t="inlineStr">
        <is>
          <t>2 — Sessions</t>
        </is>
      </c>
      <c r="C442" s="8" t="n">
        <v>42</v>
      </c>
      <c r="D442" s="8" t="inlineStr">
        <is>
          <t>Sessions — Visual Structure per Mode</t>
        </is>
      </c>
      <c r="E442" s="7" t="inlineStr">
        <is>
          <t>Structure</t>
        </is>
      </c>
      <c r="F442" s="7" t="inlineStr">
        <is>
          <t>P2</t>
        </is>
      </c>
      <c r="G442" s="7" t="inlineStr">
        <is>
          <t>Rows view: horizontal scroll with 20+ sessions.</t>
        </is>
      </c>
      <c r="H442" s="7" t="inlineStr">
        <is>
          <t>—</t>
        </is>
      </c>
      <c r="I442" s="7" t="inlineStr">
        <is>
          <t>Sticky filter row stays visible.</t>
        </is>
      </c>
      <c r="J442" s="7" t="inlineStr">
        <is>
          <t>— Not tested</t>
        </is>
      </c>
      <c r="K442" s="7" t="inlineStr">
        <is>
          <t>— Not tested</t>
        </is>
      </c>
      <c r="L442" s="7" t="inlineStr">
        <is>
          <t>— Not tested</t>
        </is>
      </c>
    </row>
    <row r="443">
      <c r="A443" s="8" t="n">
        <v>442</v>
      </c>
      <c r="B443" s="8" t="inlineStr">
        <is>
          <t>2 — Sessions</t>
        </is>
      </c>
      <c r="C443" s="8" t="n">
        <v>42</v>
      </c>
      <c r="D443" s="8" t="inlineStr">
        <is>
          <t>Sessions — Visual Structure per Mode</t>
        </is>
      </c>
      <c r="E443" s="7" t="inlineStr">
        <is>
          <t>Structure</t>
        </is>
      </c>
      <c r="F443" s="7" t="inlineStr">
        <is>
          <t>P1</t>
        </is>
      </c>
      <c r="G443" s="7" t="inlineStr">
        <is>
          <t>Progress bar 0% (not started).</t>
        </is>
      </c>
      <c r="H443" s="7" t="inlineStr">
        <is>
          <t>—</t>
        </is>
      </c>
      <c r="I443" s="7" t="inlineStr">
        <is>
          <t>Empty bar.</t>
        </is>
      </c>
      <c r="J443" s="7" t="inlineStr">
        <is>
          <t>— Not tested</t>
        </is>
      </c>
      <c r="K443" s="7" t="inlineStr">
        <is>
          <t>— Not tested</t>
        </is>
      </c>
      <c r="L443" s="7" t="inlineStr">
        <is>
          <t>— Not tested</t>
        </is>
      </c>
    </row>
    <row r="444">
      <c r="A444" s="8" t="n">
        <v>443</v>
      </c>
      <c r="B444" s="8" t="inlineStr">
        <is>
          <t>2 — Sessions</t>
        </is>
      </c>
      <c r="C444" s="8" t="n">
        <v>42</v>
      </c>
      <c r="D444" s="8" t="inlineStr">
        <is>
          <t>Sessions — Visual Structure per Mode</t>
        </is>
      </c>
      <c r="E444" s="7" t="inlineStr">
        <is>
          <t>Structure</t>
        </is>
      </c>
      <c r="F444" s="7" t="inlineStr">
        <is>
          <t>P1</t>
        </is>
      </c>
      <c r="G444" s="7" t="inlineStr">
        <is>
          <t>Progress bar 50% (active).</t>
        </is>
      </c>
      <c r="H444" s="7" t="inlineStr">
        <is>
          <t>—</t>
        </is>
      </c>
      <c r="I444" s="7" t="inlineStr">
        <is>
          <t>Half fill.</t>
        </is>
      </c>
      <c r="J444" s="7" t="inlineStr">
        <is>
          <t>— Not tested</t>
        </is>
      </c>
      <c r="K444" s="7" t="inlineStr">
        <is>
          <t>— Not tested</t>
        </is>
      </c>
      <c r="L444" s="7" t="inlineStr">
        <is>
          <t>— Not tested</t>
        </is>
      </c>
    </row>
    <row r="445">
      <c r="A445" s="8" t="n">
        <v>444</v>
      </c>
      <c r="B445" s="8" t="inlineStr">
        <is>
          <t>2 — Sessions</t>
        </is>
      </c>
      <c r="C445" s="8" t="n">
        <v>42</v>
      </c>
      <c r="D445" s="8" t="inlineStr">
        <is>
          <t>Sessions — Visual Structure per Mode</t>
        </is>
      </c>
      <c r="E445" s="7" t="inlineStr">
        <is>
          <t>Structure</t>
        </is>
      </c>
      <c r="F445" s="7" t="inlineStr">
        <is>
          <t>P1</t>
        </is>
      </c>
      <c r="G445" s="7" t="inlineStr">
        <is>
          <t>Progress bar 100% (completed).</t>
        </is>
      </c>
      <c r="H445" s="7" t="inlineStr">
        <is>
          <t>—</t>
        </is>
      </c>
      <c r="I445" s="7" t="inlineStr">
        <is>
          <t>Full fill.</t>
        </is>
      </c>
      <c r="J445" s="7" t="inlineStr">
        <is>
          <t>— Not tested</t>
        </is>
      </c>
      <c r="K445" s="7" t="inlineStr">
        <is>
          <t>— Not tested</t>
        </is>
      </c>
      <c r="L445" s="7" t="inlineStr">
        <is>
          <t>— Not tested</t>
        </is>
      </c>
    </row>
    <row r="446">
      <c r="A446" s="8" t="n">
        <v>445</v>
      </c>
      <c r="B446" s="8" t="inlineStr">
        <is>
          <t>2 — Sessions</t>
        </is>
      </c>
      <c r="C446" s="8" t="n">
        <v>42</v>
      </c>
      <c r="D446" s="8" t="inlineStr">
        <is>
          <t>Sessions — Visual Structure per Mode</t>
        </is>
      </c>
      <c r="E446" s="7" t="inlineStr">
        <is>
          <t>Structure</t>
        </is>
      </c>
      <c r="F446" s="7" t="inlineStr">
        <is>
          <t>P1</t>
        </is>
      </c>
      <c r="G446" s="7" t="inlineStr">
        <is>
          <t>Negative P&amp;L session: red styling.</t>
        </is>
      </c>
      <c r="H446" s="7" t="inlineStr">
        <is>
          <t>losing session</t>
        </is>
      </c>
      <c r="I446" s="7" t="inlineStr">
        <is>
          <t>P&amp;L shown in red.</t>
        </is>
      </c>
      <c r="J446" s="7" t="inlineStr">
        <is>
          <t>— Not tested</t>
        </is>
      </c>
      <c r="K446" s="7" t="inlineStr">
        <is>
          <t>— Not tested</t>
        </is>
      </c>
      <c r="L446" s="7" t="inlineStr">
        <is>
          <t>— Not tested</t>
        </is>
      </c>
    </row>
    <row r="447">
      <c r="A447" s="8" t="n">
        <v>446</v>
      </c>
      <c r="B447" s="8" t="inlineStr">
        <is>
          <t>2 — Sessions</t>
        </is>
      </c>
      <c r="C447" s="8" t="n">
        <v>42</v>
      </c>
      <c r="D447" s="8" t="inlineStr">
        <is>
          <t>Sessions — Visual Structure per Mode</t>
        </is>
      </c>
      <c r="E447" s="7" t="inlineStr">
        <is>
          <t>Structure</t>
        </is>
      </c>
      <c r="F447" s="7" t="inlineStr">
        <is>
          <t>P1</t>
        </is>
      </c>
      <c r="G447" s="7" t="inlineStr">
        <is>
          <t>Positive P&amp;L session: green styling.</t>
        </is>
      </c>
      <c r="H447" s="7" t="inlineStr">
        <is>
          <t>winning session</t>
        </is>
      </c>
      <c r="I447" s="7" t="inlineStr">
        <is>
          <t>P&amp;L shown in green.</t>
        </is>
      </c>
      <c r="J447" s="7" t="inlineStr">
        <is>
          <t>— Not tested</t>
        </is>
      </c>
      <c r="K447" s="7" t="inlineStr">
        <is>
          <t>— Not tested</t>
        </is>
      </c>
      <c r="L447" s="7" t="inlineStr">
        <is>
          <t>— Not tested</t>
        </is>
      </c>
    </row>
    <row r="448">
      <c r="A448" s="8" t="n">
        <v>447</v>
      </c>
      <c r="B448" s="8" t="inlineStr">
        <is>
          <t>2 — Sessions</t>
        </is>
      </c>
      <c r="C448" s="8" t="n">
        <v>43</v>
      </c>
      <c r="D448" s="8" t="inlineStr">
        <is>
          <t>Add Session — Mode × Asset Class Matrix</t>
        </is>
      </c>
      <c r="E448" s="7" t="inlineStr">
        <is>
          <t>Configuration</t>
        </is>
      </c>
      <c r="F448" s="7" t="inlineStr">
        <is>
          <t>P2</t>
        </is>
      </c>
      <c r="G448" s="7" t="inlineStr">
        <is>
          <t>Create session: trading mode **standard**, asset class **Forex**.</t>
        </is>
      </c>
      <c r="H448" s="7" t="inlineStr">
        <is>
          <t>standard+Forex</t>
        </is>
      </c>
      <c r="I448" s="7" t="inlineStr">
        <is>
          <t>Modal saves; session card shows correct mode+asset; chart loads symbol from class.</t>
        </is>
      </c>
      <c r="J448" s="7" t="inlineStr">
        <is>
          <t>— Not tested</t>
        </is>
      </c>
      <c r="K448" s="7" t="inlineStr">
        <is>
          <t>— Not tested</t>
        </is>
      </c>
      <c r="L448" s="7" t="inlineStr">
        <is>
          <t>— Not tested</t>
        </is>
      </c>
    </row>
    <row r="449">
      <c r="A449" s="8" t="n">
        <v>448</v>
      </c>
      <c r="B449" s="8" t="inlineStr">
        <is>
          <t>2 — Sessions</t>
        </is>
      </c>
      <c r="C449" s="8" t="n">
        <v>43</v>
      </c>
      <c r="D449" s="8" t="inlineStr">
        <is>
          <t>Add Session — Mode × Asset Class Matrix</t>
        </is>
      </c>
      <c r="E449" s="7" t="inlineStr">
        <is>
          <t>Configuration</t>
        </is>
      </c>
      <c r="F449" s="7" t="inlineStr">
        <is>
          <t>P2</t>
        </is>
      </c>
      <c r="G449" s="7" t="inlineStr">
        <is>
          <t>Create session: trading mode **standard**, asset class **Futures**.</t>
        </is>
      </c>
      <c r="H449" s="7" t="inlineStr">
        <is>
          <t>standard+Futures</t>
        </is>
      </c>
      <c r="I449" s="7" t="inlineStr">
        <is>
          <t>Modal saves; session card shows correct mode+asset; chart loads symbol from class.</t>
        </is>
      </c>
      <c r="J449" s="7" t="inlineStr">
        <is>
          <t>— Not tested</t>
        </is>
      </c>
      <c r="K449" s="7" t="inlineStr">
        <is>
          <t>— Not tested</t>
        </is>
      </c>
      <c r="L449" s="7" t="inlineStr">
        <is>
          <t>— Not tested</t>
        </is>
      </c>
    </row>
    <row r="450">
      <c r="A450" s="8" t="n">
        <v>449</v>
      </c>
      <c r="B450" s="8" t="inlineStr">
        <is>
          <t>2 — Sessions</t>
        </is>
      </c>
      <c r="C450" s="8" t="n">
        <v>43</v>
      </c>
      <c r="D450" s="8" t="inlineStr">
        <is>
          <t>Add Session — Mode × Asset Class Matrix</t>
        </is>
      </c>
      <c r="E450" s="7" t="inlineStr">
        <is>
          <t>Configuration</t>
        </is>
      </c>
      <c r="F450" s="7" t="inlineStr">
        <is>
          <t>P2</t>
        </is>
      </c>
      <c r="G450" s="7" t="inlineStr">
        <is>
          <t>Create session: trading mode **standard**, asset class **Stocks**.</t>
        </is>
      </c>
      <c r="H450" s="7" t="inlineStr">
        <is>
          <t>standard+Stocks</t>
        </is>
      </c>
      <c r="I450" s="7" t="inlineStr">
        <is>
          <t>Modal saves; session card shows correct mode+asset; chart loads symbol from class.</t>
        </is>
      </c>
      <c r="J450" s="7" t="inlineStr">
        <is>
          <t>— Not tested</t>
        </is>
      </c>
      <c r="K450" s="7" t="inlineStr">
        <is>
          <t>— Not tested</t>
        </is>
      </c>
      <c r="L450" s="7" t="inlineStr">
        <is>
          <t>— Not tested</t>
        </is>
      </c>
    </row>
    <row r="451">
      <c r="A451" s="8" t="n">
        <v>450</v>
      </c>
      <c r="B451" s="8" t="inlineStr">
        <is>
          <t>2 — Sessions</t>
        </is>
      </c>
      <c r="C451" s="8" t="n">
        <v>43</v>
      </c>
      <c r="D451" s="8" t="inlineStr">
        <is>
          <t>Add Session — Mode × Asset Class Matrix</t>
        </is>
      </c>
      <c r="E451" s="7" t="inlineStr">
        <is>
          <t>Configuration</t>
        </is>
      </c>
      <c r="F451" s="7" t="inlineStr">
        <is>
          <t>P2</t>
        </is>
      </c>
      <c r="G451" s="7" t="inlineStr">
        <is>
          <t>Create session: trading mode **standard**, asset class **Crypto**.</t>
        </is>
      </c>
      <c r="H451" s="7" t="inlineStr">
        <is>
          <t>standard+Crypto</t>
        </is>
      </c>
      <c r="I451" s="7" t="inlineStr">
        <is>
          <t>Modal saves; session card shows correct mode+asset; chart loads symbol from class.</t>
        </is>
      </c>
      <c r="J451" s="7" t="inlineStr">
        <is>
          <t>— Not tested</t>
        </is>
      </c>
      <c r="K451" s="7" t="inlineStr">
        <is>
          <t>— Not tested</t>
        </is>
      </c>
      <c r="L451" s="7" t="inlineStr">
        <is>
          <t>— Not tested</t>
        </is>
      </c>
    </row>
    <row r="452">
      <c r="A452" s="8" t="n">
        <v>451</v>
      </c>
      <c r="B452" s="8" t="inlineStr">
        <is>
          <t>2 — Sessions</t>
        </is>
      </c>
      <c r="C452" s="8" t="n">
        <v>43</v>
      </c>
      <c r="D452" s="8" t="inlineStr">
        <is>
          <t>Add Session — Mode × Asset Class Matrix</t>
        </is>
      </c>
      <c r="E452" s="7" t="inlineStr">
        <is>
          <t>Configuration</t>
        </is>
      </c>
      <c r="F452" s="7" t="inlineStr">
        <is>
          <t>P2</t>
        </is>
      </c>
      <c r="G452" s="7" t="inlineStr">
        <is>
          <t>Create session: trading mode **prop**, asset class **Forex**.</t>
        </is>
      </c>
      <c r="H452" s="7" t="inlineStr">
        <is>
          <t>prop+Forex</t>
        </is>
      </c>
      <c r="I452" s="7" t="inlineStr">
        <is>
          <t>Modal saves; session card shows correct mode+asset; chart loads symbol from class.</t>
        </is>
      </c>
      <c r="J452" s="7" t="inlineStr">
        <is>
          <t>— Not tested</t>
        </is>
      </c>
      <c r="K452" s="7" t="inlineStr">
        <is>
          <t>— Not tested</t>
        </is>
      </c>
      <c r="L452" s="7" t="inlineStr">
        <is>
          <t>— Not tested</t>
        </is>
      </c>
    </row>
    <row r="453">
      <c r="A453" s="8" t="n">
        <v>452</v>
      </c>
      <c r="B453" s="8" t="inlineStr">
        <is>
          <t>2 — Sessions</t>
        </is>
      </c>
      <c r="C453" s="8" t="n">
        <v>43</v>
      </c>
      <c r="D453" s="8" t="inlineStr">
        <is>
          <t>Add Session — Mode × Asset Class Matrix</t>
        </is>
      </c>
      <c r="E453" s="7" t="inlineStr">
        <is>
          <t>Configuration</t>
        </is>
      </c>
      <c r="F453" s="7" t="inlineStr">
        <is>
          <t>P2</t>
        </is>
      </c>
      <c r="G453" s="7" t="inlineStr">
        <is>
          <t>Create session: trading mode **prop**, asset class **Futures**.</t>
        </is>
      </c>
      <c r="H453" s="7" t="inlineStr">
        <is>
          <t>prop+Futures</t>
        </is>
      </c>
      <c r="I453" s="7" t="inlineStr">
        <is>
          <t>Modal saves; session card shows correct mode+asset; chart loads symbol from class.</t>
        </is>
      </c>
      <c r="J453" s="7" t="inlineStr">
        <is>
          <t>— Not tested</t>
        </is>
      </c>
      <c r="K453" s="7" t="inlineStr">
        <is>
          <t>— Not tested</t>
        </is>
      </c>
      <c r="L453" s="7" t="inlineStr">
        <is>
          <t>— Not tested</t>
        </is>
      </c>
    </row>
    <row r="454">
      <c r="A454" s="8" t="n">
        <v>453</v>
      </c>
      <c r="B454" s="8" t="inlineStr">
        <is>
          <t>2 — Sessions</t>
        </is>
      </c>
      <c r="C454" s="8" t="n">
        <v>43</v>
      </c>
      <c r="D454" s="8" t="inlineStr">
        <is>
          <t>Add Session — Mode × Asset Class Matrix</t>
        </is>
      </c>
      <c r="E454" s="7" t="inlineStr">
        <is>
          <t>Configuration</t>
        </is>
      </c>
      <c r="F454" s="7" t="inlineStr">
        <is>
          <t>P2</t>
        </is>
      </c>
      <c r="G454" s="7" t="inlineStr">
        <is>
          <t>Create session: trading mode **prop**, asset class **Stocks**.</t>
        </is>
      </c>
      <c r="H454" s="7" t="inlineStr">
        <is>
          <t>prop+Stocks</t>
        </is>
      </c>
      <c r="I454" s="7" t="inlineStr">
        <is>
          <t>Modal saves; session card shows correct mode+asset; chart loads symbol from class.</t>
        </is>
      </c>
      <c r="J454" s="7" t="inlineStr">
        <is>
          <t>— Not tested</t>
        </is>
      </c>
      <c r="K454" s="7" t="inlineStr">
        <is>
          <t>— Not tested</t>
        </is>
      </c>
      <c r="L454" s="7" t="inlineStr">
        <is>
          <t>— Not tested</t>
        </is>
      </c>
    </row>
    <row r="455">
      <c r="A455" s="8" t="n">
        <v>454</v>
      </c>
      <c r="B455" s="8" t="inlineStr">
        <is>
          <t>2 — Sessions</t>
        </is>
      </c>
      <c r="C455" s="8" t="n">
        <v>43</v>
      </c>
      <c r="D455" s="8" t="inlineStr">
        <is>
          <t>Add Session — Mode × Asset Class Matrix</t>
        </is>
      </c>
      <c r="E455" s="7" t="inlineStr">
        <is>
          <t>Configuration</t>
        </is>
      </c>
      <c r="F455" s="7" t="inlineStr">
        <is>
          <t>P2</t>
        </is>
      </c>
      <c r="G455" s="7" t="inlineStr">
        <is>
          <t>Create session: trading mode **prop**, asset class **Crypto**.</t>
        </is>
      </c>
      <c r="H455" s="7" t="inlineStr">
        <is>
          <t>prop+Crypto</t>
        </is>
      </c>
      <c r="I455" s="7" t="inlineStr">
        <is>
          <t>Modal saves; session card shows correct mode+asset; chart loads symbol from class.</t>
        </is>
      </c>
      <c r="J455" s="7" t="inlineStr">
        <is>
          <t>— Not tested</t>
        </is>
      </c>
      <c r="K455" s="7" t="inlineStr">
        <is>
          <t>— Not tested</t>
        </is>
      </c>
      <c r="L455" s="7" t="inlineStr">
        <is>
          <t>— Not tested</t>
        </is>
      </c>
    </row>
    <row r="456">
      <c r="A456" s="6" t="n">
        <v>455</v>
      </c>
      <c r="B456" s="6" t="inlineStr">
        <is>
          <t>1 — Strategies</t>
        </is>
      </c>
      <c r="C456" s="6" t="n">
        <v>44</v>
      </c>
      <c r="D456" s="6" t="inlineStr">
        <is>
          <t>Builder — Condition Status Visuals</t>
        </is>
      </c>
      <c r="E456" s="7" t="inlineStr">
        <is>
          <t>Structure</t>
        </is>
      </c>
      <c r="F456" s="7" t="inlineStr">
        <is>
          <t>P1</t>
        </is>
      </c>
      <c r="G456" s="7" t="inlineStr">
        <is>
          <t>Add condition with status **mandatory**.</t>
        </is>
      </c>
      <c r="H456" s="7" t="inlineStr">
        <is>
          <t>mandatory</t>
        </is>
      </c>
      <c r="I456" s="7" t="inlineStr">
        <is>
          <t>Node/badge color matches mandatory (green/optional/red).</t>
        </is>
      </c>
      <c r="J456" s="7" t="inlineStr">
        <is>
          <t>— Not tested</t>
        </is>
      </c>
      <c r="K456" s="7" t="inlineStr">
        <is>
          <t>— Not tested</t>
        </is>
      </c>
      <c r="L456" s="7" t="inlineStr">
        <is>
          <t>— Not tested</t>
        </is>
      </c>
    </row>
    <row r="457">
      <c r="A457" s="6" t="n">
        <v>456</v>
      </c>
      <c r="B457" s="6" t="inlineStr">
        <is>
          <t>1 — Strategies</t>
        </is>
      </c>
      <c r="C457" s="6" t="n">
        <v>44</v>
      </c>
      <c r="D457" s="6" t="inlineStr">
        <is>
          <t>Builder — Condition Status Visuals</t>
        </is>
      </c>
      <c r="E457" s="7" t="inlineStr">
        <is>
          <t>Structure</t>
        </is>
      </c>
      <c r="F457" s="7" t="inlineStr">
        <is>
          <t>P1</t>
        </is>
      </c>
      <c r="G457" s="7" t="inlineStr">
        <is>
          <t>Add condition with status **optional**.</t>
        </is>
      </c>
      <c r="H457" s="7" t="inlineStr">
        <is>
          <t>optional</t>
        </is>
      </c>
      <c r="I457" s="7" t="inlineStr">
        <is>
          <t>Node/badge color matches optional (green/optional/red).</t>
        </is>
      </c>
      <c r="J457" s="7" t="inlineStr">
        <is>
          <t>— Not tested</t>
        </is>
      </c>
      <c r="K457" s="7" t="inlineStr">
        <is>
          <t>— Not tested</t>
        </is>
      </c>
      <c r="L457" s="7" t="inlineStr">
        <is>
          <t>— Not tested</t>
        </is>
      </c>
    </row>
    <row r="458">
      <c r="A458" s="6" t="n">
        <v>457</v>
      </c>
      <c r="B458" s="6" t="inlineStr">
        <is>
          <t>1 — Strategies</t>
        </is>
      </c>
      <c r="C458" s="6" t="n">
        <v>44</v>
      </c>
      <c r="D458" s="6" t="inlineStr">
        <is>
          <t>Builder — Condition Status Visuals</t>
        </is>
      </c>
      <c r="E458" s="7" t="inlineStr">
        <is>
          <t>Structure</t>
        </is>
      </c>
      <c r="F458" s="7" t="inlineStr">
        <is>
          <t>P1</t>
        </is>
      </c>
      <c r="G458" s="7" t="inlineStr">
        <is>
          <t>Add condition with status **invalidate**.</t>
        </is>
      </c>
      <c r="H458" s="7" t="inlineStr">
        <is>
          <t>invalidate</t>
        </is>
      </c>
      <c r="I458" s="7" t="inlineStr">
        <is>
          <t>Node/badge color matches invalidate (green/optional/red).</t>
        </is>
      </c>
      <c r="J458" s="7" t="inlineStr">
        <is>
          <t>— Not tested</t>
        </is>
      </c>
      <c r="K458" s="7" t="inlineStr">
        <is>
          <t>— Not tested</t>
        </is>
      </c>
      <c r="L458" s="7" t="inlineStr">
        <is>
          <t>— Not tested</t>
        </is>
      </c>
    </row>
    <row r="459">
      <c r="A459" s="6" t="n">
        <v>458</v>
      </c>
      <c r="B459" s="6" t="inlineStr">
        <is>
          <t>1 — Strategies</t>
        </is>
      </c>
      <c r="C459" s="6" t="n">
        <v>44</v>
      </c>
      <c r="D459" s="6" t="inlineStr">
        <is>
          <t>Builder — Condition Status Visuals</t>
        </is>
      </c>
      <c r="E459" s="7" t="inlineStr">
        <is>
          <t>Structure</t>
        </is>
      </c>
      <c r="F459" s="7" t="inlineStr">
        <is>
          <t>P1</t>
        </is>
      </c>
      <c r="G459" s="7" t="inlineStr">
        <is>
          <t>Canvas with 0 groups — Review step.</t>
        </is>
      </c>
      <c r="H459" s="7" t="inlineStr">
        <is>
          <t>empty flow</t>
        </is>
      </c>
      <c r="I459" s="7" t="inlineStr">
        <is>
          <t>Readiness shows flow incomplete.</t>
        </is>
      </c>
      <c r="J459" s="7" t="inlineStr">
        <is>
          <t>— Not tested</t>
        </is>
      </c>
      <c r="K459" s="7" t="inlineStr">
        <is>
          <t>— Not tested</t>
        </is>
      </c>
      <c r="L459" s="7" t="inlineStr">
        <is>
          <t>— Not tested</t>
        </is>
      </c>
    </row>
    <row r="460">
      <c r="A460" s="6" t="n">
        <v>459</v>
      </c>
      <c r="B460" s="6" t="inlineStr">
        <is>
          <t>1 — Strategies</t>
        </is>
      </c>
      <c r="C460" s="6" t="n">
        <v>44</v>
      </c>
      <c r="D460" s="6" t="inlineStr">
        <is>
          <t>Builder — Condition Status Visuals</t>
        </is>
      </c>
      <c r="E460" s="7" t="inlineStr">
        <is>
          <t>Structure</t>
        </is>
      </c>
      <c r="F460" s="7" t="inlineStr">
        <is>
          <t>P2</t>
        </is>
      </c>
      <c r="G460" s="7" t="inlineStr">
        <is>
          <t>Canvas with 5 groups × 3 conditions each.</t>
        </is>
      </c>
      <c r="H460" s="7" t="inlineStr">
        <is>
          <t>15 conditions</t>
        </is>
      </c>
      <c r="I460" s="7" t="inlineStr">
        <is>
          <t>Performance OK; scroll works; save succeeds.</t>
        </is>
      </c>
      <c r="J460" s="7" t="inlineStr">
        <is>
          <t>— Not tested</t>
        </is>
      </c>
      <c r="K460" s="7" t="inlineStr">
        <is>
          <t>— Not tested</t>
        </is>
      </c>
      <c r="L460" s="7" t="inlineStr">
        <is>
          <t>— Not tested</t>
        </is>
      </c>
    </row>
    <row r="461">
      <c r="A461" s="6" t="n">
        <v>460</v>
      </c>
      <c r="B461" s="6" t="inlineStr">
        <is>
          <t>1 — Strategies</t>
        </is>
      </c>
      <c r="C461" s="6" t="n">
        <v>44</v>
      </c>
      <c r="D461" s="6" t="inlineStr">
        <is>
          <t>Builder — Condition Status Visuals</t>
        </is>
      </c>
      <c r="E461" s="7" t="inlineStr">
        <is>
          <t>Structure</t>
        </is>
      </c>
      <c r="F461" s="7" t="inlineStr">
        <is>
          <t>P2</t>
        </is>
      </c>
      <c r="G461" s="7" t="inlineStr">
        <is>
          <t>Condition with very long description (2000 chars).</t>
        </is>
      </c>
      <c r="H461" s="7" t="inlineStr">
        <is>
          <t>long text</t>
        </is>
      </c>
      <c r="I461" s="7" t="inlineStr">
        <is>
          <t>Inspector scrolls; save succeeds or truncates safely.</t>
        </is>
      </c>
      <c r="J461" s="7" t="inlineStr">
        <is>
          <t>— Not tested</t>
        </is>
      </c>
      <c r="K461" s="7" t="inlineStr">
        <is>
          <t>— Not tested</t>
        </is>
      </c>
      <c r="L461" s="7" t="inlineStr">
        <is>
          <t>— Not tested</t>
        </is>
      </c>
    </row>
    <row r="462">
      <c r="A462" s="6" t="n">
        <v>461</v>
      </c>
      <c r="B462" s="6" t="inlineStr">
        <is>
          <t>1 — Strategies</t>
        </is>
      </c>
      <c r="C462" s="6" t="n">
        <v>44</v>
      </c>
      <c r="D462" s="6" t="inlineStr">
        <is>
          <t>Builder — Condition Status Visuals</t>
        </is>
      </c>
      <c r="E462" s="7" t="inlineStr">
        <is>
          <t>Structure</t>
        </is>
      </c>
      <c r="F462" s="7" t="inlineStr">
        <is>
          <t>P2</t>
        </is>
      </c>
      <c r="G462" s="7" t="inlineStr">
        <is>
          <t>Group name with special characters.</t>
        </is>
      </c>
      <c r="H462" s="7" t="inlineStr">
        <is>
          <t>G&amp;1 &lt;test&gt;</t>
        </is>
      </c>
      <c r="I462" s="7" t="inlineStr">
        <is>
          <t>Displays safely on canvas.</t>
        </is>
      </c>
      <c r="J462" s="7" t="inlineStr">
        <is>
          <t>— Not tested</t>
        </is>
      </c>
      <c r="K462" s="7" t="inlineStr">
        <is>
          <t>— Not tested</t>
        </is>
      </c>
      <c r="L462" s="7" t="inlineStr">
        <is>
          <t>— Not tested</t>
        </is>
      </c>
    </row>
    <row r="463">
      <c r="A463" s="9" t="n">
        <v>462</v>
      </c>
      <c r="B463" s="9" t="inlineStr">
        <is>
          <t>3 — Trades</t>
        </is>
      </c>
      <c r="C463" s="9" t="n">
        <v>45</v>
      </c>
      <c r="D463" s="9" t="inlineStr">
        <is>
          <t>Trades Table — Visuals &amp; Edge Data</t>
        </is>
      </c>
      <c r="E463" s="7" t="inlineStr">
        <is>
          <t>Structure</t>
        </is>
      </c>
      <c r="F463" s="7" t="inlineStr">
        <is>
          <t>P1</t>
        </is>
      </c>
      <c r="G463" s="7" t="inlineStr">
        <is>
          <t>Table with 0 trades.</t>
        </is>
      </c>
      <c r="H463" s="7" t="inlineStr">
        <is>
          <t>empty source</t>
        </is>
      </c>
      <c r="I463" s="7" t="inlineStr">
        <is>
          <t>Empty state message; Export disabled.</t>
        </is>
      </c>
      <c r="J463" s="7" t="inlineStr">
        <is>
          <t>— Not tested</t>
        </is>
      </c>
      <c r="K463" s="7" t="inlineStr">
        <is>
          <t>— Not tested</t>
        </is>
      </c>
      <c r="L463" s="7" t="inlineStr">
        <is>
          <t>— Not tested</t>
        </is>
      </c>
    </row>
    <row r="464">
      <c r="A464" s="9" t="n">
        <v>463</v>
      </c>
      <c r="B464" s="9" t="inlineStr">
        <is>
          <t>3 — Trades</t>
        </is>
      </c>
      <c r="C464" s="9" t="n">
        <v>45</v>
      </c>
      <c r="D464" s="9" t="inlineStr">
        <is>
          <t>Trades Table — Visuals &amp; Edge Data</t>
        </is>
      </c>
      <c r="E464" s="7" t="inlineStr">
        <is>
          <t>Structure</t>
        </is>
      </c>
      <c r="F464" s="7" t="inlineStr">
        <is>
          <t>P1</t>
        </is>
      </c>
      <c r="G464" s="7" t="inlineStr">
        <is>
          <t>Table with 1 trade.</t>
        </is>
      </c>
      <c r="H464" s="7" t="inlineStr">
        <is>
          <t>1 row</t>
        </is>
      </c>
      <c r="I464" s="7" t="inlineStr">
        <is>
          <t>Row renders; expand works.</t>
        </is>
      </c>
      <c r="J464" s="7" t="inlineStr">
        <is>
          <t>— Not tested</t>
        </is>
      </c>
      <c r="K464" s="7" t="inlineStr">
        <is>
          <t>— Not tested</t>
        </is>
      </c>
      <c r="L464" s="7" t="inlineStr">
        <is>
          <t>— Not tested</t>
        </is>
      </c>
    </row>
    <row r="465">
      <c r="A465" s="9" t="n">
        <v>464</v>
      </c>
      <c r="B465" s="9" t="inlineStr">
        <is>
          <t>3 — Trades</t>
        </is>
      </c>
      <c r="C465" s="9" t="n">
        <v>45</v>
      </c>
      <c r="D465" s="9" t="inlineStr">
        <is>
          <t>Trades Table — Visuals &amp; Edge Data</t>
        </is>
      </c>
      <c r="E465" s="7" t="inlineStr">
        <is>
          <t>Structure</t>
        </is>
      </c>
      <c r="F465" s="7" t="inlineStr">
        <is>
          <t>P2</t>
        </is>
      </c>
      <c r="G465" s="7" t="inlineStr">
        <is>
          <t>Table with 100+ trades.</t>
        </is>
      </c>
      <c r="H465" s="7" t="inlineStr">
        <is>
          <t>large set</t>
        </is>
      </c>
      <c r="I465" s="7" t="inlineStr">
        <is>
          <t>Scroll performance OK; sort works.</t>
        </is>
      </c>
      <c r="J465" s="7" t="inlineStr">
        <is>
          <t>— Not tested</t>
        </is>
      </c>
      <c r="K465" s="7" t="inlineStr">
        <is>
          <t>— Not tested</t>
        </is>
      </c>
      <c r="L465" s="7" t="inlineStr">
        <is>
          <t>— Not tested</t>
        </is>
      </c>
    </row>
    <row r="466">
      <c r="A466" s="9" t="n">
        <v>465</v>
      </c>
      <c r="B466" s="9" t="inlineStr">
        <is>
          <t>3 — Trades</t>
        </is>
      </c>
      <c r="C466" s="9" t="n">
        <v>45</v>
      </c>
      <c r="D466" s="9" t="inlineStr">
        <is>
          <t>Trades Table — Visuals &amp; Edge Data</t>
        </is>
      </c>
      <c r="E466" s="7" t="inlineStr">
        <is>
          <t>Structure</t>
        </is>
      </c>
      <c r="F466" s="7" t="inlineStr">
        <is>
          <t>P2</t>
        </is>
      </c>
      <c r="G466" s="7" t="inlineStr">
        <is>
          <t>Very long symbol name in row.</t>
        </is>
      </c>
      <c r="H466" s="7" t="inlineStr">
        <is>
          <t>long symbol</t>
        </is>
      </c>
      <c r="I466" s="7" t="inlineStr">
        <is>
          <t>Truncates with ellipsis.</t>
        </is>
      </c>
      <c r="J466" s="7" t="inlineStr">
        <is>
          <t>— Not tested</t>
        </is>
      </c>
      <c r="K466" s="7" t="inlineStr">
        <is>
          <t>— Not tested</t>
        </is>
      </c>
      <c r="L466" s="7" t="inlineStr">
        <is>
          <t>— Not tested</t>
        </is>
      </c>
    </row>
    <row r="467">
      <c r="A467" s="9" t="n">
        <v>466</v>
      </c>
      <c r="B467" s="9" t="inlineStr">
        <is>
          <t>3 — Trades</t>
        </is>
      </c>
      <c r="C467" s="9" t="n">
        <v>45</v>
      </c>
      <c r="D467" s="9" t="inlineStr">
        <is>
          <t>Trades Table — Visuals &amp; Edge Data</t>
        </is>
      </c>
      <c r="E467" s="7" t="inlineStr">
        <is>
          <t>Structure</t>
        </is>
      </c>
      <c r="F467" s="7" t="inlineStr">
        <is>
          <t>P2</t>
        </is>
      </c>
      <c r="G467" s="7" t="inlineStr">
        <is>
          <t>Trade with edited badge.</t>
        </is>
      </c>
      <c r="H467" s="7" t="inlineStr">
        <is>
          <t>edited trade</t>
        </is>
      </c>
      <c r="I467" s="7" t="inlineStr">
        <is>
          <t>Badge visible.</t>
        </is>
      </c>
      <c r="J467" s="7" t="inlineStr">
        <is>
          <t>— Not tested</t>
        </is>
      </c>
      <c r="K467" s="7" t="inlineStr">
        <is>
          <t>— Not tested</t>
        </is>
      </c>
      <c r="L467" s="7" t="inlineStr">
        <is>
          <t>— Not tested</t>
        </is>
      </c>
    </row>
    <row r="468">
      <c r="A468" s="9" t="n">
        <v>467</v>
      </c>
      <c r="B468" s="9" t="inlineStr">
        <is>
          <t>3 — Trades</t>
        </is>
      </c>
      <c r="C468" s="9" t="n">
        <v>45</v>
      </c>
      <c r="D468" s="9" t="inlineStr">
        <is>
          <t>Trades Table — Visuals &amp; Edge Data</t>
        </is>
      </c>
      <c r="E468" s="7" t="inlineStr">
        <is>
          <t>Structure</t>
        </is>
      </c>
      <c r="F468" s="7" t="inlineStr">
        <is>
          <t>P2</t>
        </is>
      </c>
      <c r="G468" s="7" t="inlineStr">
        <is>
          <t>Discipline: According to Plan label.</t>
        </is>
      </c>
      <c r="H468" s="7" t="inlineStr">
        <is>
          <t>—</t>
        </is>
      </c>
      <c r="I468" s="7" t="inlineStr">
        <is>
          <t>Green/neutral styling.</t>
        </is>
      </c>
      <c r="J468" s="7" t="inlineStr">
        <is>
          <t>— Not tested</t>
        </is>
      </c>
      <c r="K468" s="7" t="inlineStr">
        <is>
          <t>— Not tested</t>
        </is>
      </c>
      <c r="L468" s="7" t="inlineStr">
        <is>
          <t>— Not tested</t>
        </is>
      </c>
    </row>
    <row r="469">
      <c r="A469" s="9" t="n">
        <v>468</v>
      </c>
      <c r="B469" s="9" t="inlineStr">
        <is>
          <t>3 — Trades</t>
        </is>
      </c>
      <c r="C469" s="9" t="n">
        <v>45</v>
      </c>
      <c r="D469" s="9" t="inlineStr">
        <is>
          <t>Trades Table — Visuals &amp; Edge Data</t>
        </is>
      </c>
      <c r="E469" s="7" t="inlineStr">
        <is>
          <t>Structure</t>
        </is>
      </c>
      <c r="F469" s="7" t="inlineStr">
        <is>
          <t>P2</t>
        </is>
      </c>
      <c r="G469" s="7" t="inlineStr">
        <is>
          <t>Discipline: Out of Plan label.</t>
        </is>
      </c>
      <c r="H469" s="7" t="inlineStr">
        <is>
          <t>—</t>
        </is>
      </c>
      <c r="I469" s="7" t="inlineStr">
        <is>
          <t>Warning styling.</t>
        </is>
      </c>
      <c r="J469" s="7" t="inlineStr">
        <is>
          <t>— Not tested</t>
        </is>
      </c>
      <c r="K469" s="7" t="inlineStr">
        <is>
          <t>— Not tested</t>
        </is>
      </c>
      <c r="L469" s="7" t="inlineStr">
        <is>
          <t>— Not tested</t>
        </is>
      </c>
    </row>
    <row r="470">
      <c r="A470" s="9" t="n">
        <v>469</v>
      </c>
      <c r="B470" s="9" t="inlineStr">
        <is>
          <t>3 — Trades</t>
        </is>
      </c>
      <c r="C470" s="9" t="n">
        <v>45</v>
      </c>
      <c r="D470" s="9" t="inlineStr">
        <is>
          <t>Trades Table — Visuals &amp; Edge Data</t>
        </is>
      </c>
      <c r="E470" s="7" t="inlineStr">
        <is>
          <t>Structure</t>
        </is>
      </c>
      <c r="F470" s="7" t="inlineStr">
        <is>
          <t>P1</t>
        </is>
      </c>
      <c r="G470" s="7" t="inlineStr">
        <is>
          <t>Excursion chart in expanded row.</t>
        </is>
      </c>
      <c r="H470" s="7" t="inlineStr">
        <is>
          <t>trade with excursion</t>
        </is>
      </c>
      <c r="I470" s="7" t="inlineStr">
        <is>
          <t>Mini chart renders.</t>
        </is>
      </c>
      <c r="J470" s="7" t="inlineStr">
        <is>
          <t>— Not tested</t>
        </is>
      </c>
      <c r="K470" s="7" t="inlineStr">
        <is>
          <t>— Not tested</t>
        </is>
      </c>
      <c r="L470" s="7" t="inlineStr">
        <is>
          <t>— Not tested</t>
        </is>
      </c>
    </row>
    <row r="471">
      <c r="A471" s="9" t="n">
        <v>470</v>
      </c>
      <c r="B471" s="9" t="inlineStr">
        <is>
          <t>3 — Trades</t>
        </is>
      </c>
      <c r="C471" s="9" t="n">
        <v>45</v>
      </c>
      <c r="D471" s="9" t="inlineStr">
        <is>
          <t>Trades Table — Visuals &amp; Edge Data</t>
        </is>
      </c>
      <c r="E471" s="7" t="inlineStr">
        <is>
          <t>Structure</t>
        </is>
      </c>
      <c r="F471" s="7" t="inlineStr">
        <is>
          <t>P2</t>
        </is>
      </c>
      <c r="G471" s="7" t="inlineStr">
        <is>
          <t>Row with 4 pre screenshots.</t>
        </is>
      </c>
      <c r="H471" s="7" t="inlineStr">
        <is>
          <t>4 images</t>
        </is>
      </c>
      <c r="I471" s="7" t="inlineStr">
        <is>
          <t>All thumbnails visible.</t>
        </is>
      </c>
      <c r="J471" s="7" t="inlineStr">
        <is>
          <t>— Not tested</t>
        </is>
      </c>
      <c r="K471" s="7" t="inlineStr">
        <is>
          <t>— Not tested</t>
        </is>
      </c>
      <c r="L471" s="7" t="inlineStr">
        <is>
          <t>— Not tested</t>
        </is>
      </c>
    </row>
    <row r="472">
      <c r="A472" s="9" t="n">
        <v>471</v>
      </c>
      <c r="B472" s="9" t="inlineStr">
        <is>
          <t>3 — Trades</t>
        </is>
      </c>
      <c r="C472" s="9" t="n">
        <v>46</v>
      </c>
      <c r="D472" s="9" t="inlineStr">
        <is>
          <t>Add Trade — Date/Time Boundaries</t>
        </is>
      </c>
      <c r="E472" s="7" t="inlineStr">
        <is>
          <t>Edge</t>
        </is>
      </c>
      <c r="F472" s="7" t="inlineStr">
        <is>
          <t>P2</t>
        </is>
      </c>
      <c r="G472" s="7" t="inlineStr">
        <is>
          <t>Entry midnight 00:00.</t>
        </is>
      </c>
      <c r="H472" s="7" t="inlineStr">
        <is>
          <t>00:00</t>
        </is>
      </c>
      <c r="I472" s="7" t="inlineStr">
        <is>
          <t>Accepts; saves correctly.</t>
        </is>
      </c>
      <c r="J472" s="7" t="inlineStr">
        <is>
          <t>— Not tested</t>
        </is>
      </c>
      <c r="K472" s="7" t="inlineStr">
        <is>
          <t>— Not tested</t>
        </is>
      </c>
      <c r="L472" s="7" t="inlineStr">
        <is>
          <t>— Not tested</t>
        </is>
      </c>
    </row>
    <row r="473">
      <c r="A473" s="9" t="n">
        <v>472</v>
      </c>
      <c r="B473" s="9" t="inlineStr">
        <is>
          <t>3 — Trades</t>
        </is>
      </c>
      <c r="C473" s="9" t="n">
        <v>46</v>
      </c>
      <c r="D473" s="9" t="inlineStr">
        <is>
          <t>Add Trade — Date/Time Boundaries</t>
        </is>
      </c>
      <c r="E473" s="7" t="inlineStr">
        <is>
          <t>Edge</t>
        </is>
      </c>
      <c r="F473" s="7" t="inlineStr">
        <is>
          <t>P2</t>
        </is>
      </c>
      <c r="G473" s="7" t="inlineStr">
        <is>
          <t>Entry 23:59.</t>
        </is>
      </c>
      <c r="H473" s="7" t="inlineStr">
        <is>
          <t>23:59</t>
        </is>
      </c>
      <c r="I473" s="7" t="inlineStr">
        <is>
          <t>Accepts.</t>
        </is>
      </c>
      <c r="J473" s="7" t="inlineStr">
        <is>
          <t>— Not tested</t>
        </is>
      </c>
      <c r="K473" s="7" t="inlineStr">
        <is>
          <t>— Not tested</t>
        </is>
      </c>
      <c r="L473" s="7" t="inlineStr">
        <is>
          <t>— Not tested</t>
        </is>
      </c>
    </row>
    <row r="474">
      <c r="A474" s="9" t="n">
        <v>473</v>
      </c>
      <c r="B474" s="9" t="inlineStr">
        <is>
          <t>3 — Trades</t>
        </is>
      </c>
      <c r="C474" s="9" t="n">
        <v>46</v>
      </c>
      <c r="D474" s="9" t="inlineStr">
        <is>
          <t>Add Trade — Date/Time Boundaries</t>
        </is>
      </c>
      <c r="E474" s="7" t="inlineStr">
        <is>
          <t>Edge</t>
        </is>
      </c>
      <c r="F474" s="7" t="inlineStr">
        <is>
          <t>P1</t>
        </is>
      </c>
      <c r="G474" s="7" t="inlineStr">
        <is>
          <t>Entry date = session start date (boundary).</t>
        </is>
      </c>
      <c r="H474" s="7" t="inlineStr">
        <is>
          <t>start date</t>
        </is>
      </c>
      <c r="I474" s="7" t="inlineStr">
        <is>
          <t>Accepts.</t>
        </is>
      </c>
      <c r="J474" s="7" t="inlineStr">
        <is>
          <t>— Not tested</t>
        </is>
      </c>
      <c r="K474" s="7" t="inlineStr">
        <is>
          <t>— Not tested</t>
        </is>
      </c>
      <c r="L474" s="7" t="inlineStr">
        <is>
          <t>— Not tested</t>
        </is>
      </c>
    </row>
    <row r="475">
      <c r="A475" s="9" t="n">
        <v>474</v>
      </c>
      <c r="B475" s="9" t="inlineStr">
        <is>
          <t>3 — Trades</t>
        </is>
      </c>
      <c r="C475" s="9" t="n">
        <v>46</v>
      </c>
      <c r="D475" s="9" t="inlineStr">
        <is>
          <t>Add Trade — Date/Time Boundaries</t>
        </is>
      </c>
      <c r="E475" s="7" t="inlineStr">
        <is>
          <t>Edge</t>
        </is>
      </c>
      <c r="F475" s="7" t="inlineStr">
        <is>
          <t>P1</t>
        </is>
      </c>
      <c r="G475" s="7" t="inlineStr">
        <is>
          <t>Entry date = session end date (boundary).</t>
        </is>
      </c>
      <c r="H475" s="7" t="inlineStr">
        <is>
          <t>end date</t>
        </is>
      </c>
      <c r="I475" s="7" t="inlineStr">
        <is>
          <t>Accepts.</t>
        </is>
      </c>
      <c r="J475" s="7" t="inlineStr">
        <is>
          <t>— Not tested</t>
        </is>
      </c>
      <c r="K475" s="7" t="inlineStr">
        <is>
          <t>— Not tested</t>
        </is>
      </c>
      <c r="L475" s="7" t="inlineStr">
        <is>
          <t>— Not tested</t>
        </is>
      </c>
    </row>
    <row r="476">
      <c r="A476" s="9" t="n">
        <v>475</v>
      </c>
      <c r="B476" s="9" t="inlineStr">
        <is>
          <t>3 — Trades</t>
        </is>
      </c>
      <c r="C476" s="9" t="n">
        <v>46</v>
      </c>
      <c r="D476" s="9" t="inlineStr">
        <is>
          <t>Add Trade — Date/Time Boundaries</t>
        </is>
      </c>
      <c r="E476" s="7" t="inlineStr">
        <is>
          <t>Edge</t>
        </is>
      </c>
      <c r="F476" s="7" t="inlineStr">
        <is>
          <t>P1</t>
        </is>
      </c>
      <c r="G476" s="7" t="inlineStr">
        <is>
          <t>Exit 1 minute after entry.</t>
        </is>
      </c>
      <c r="H476" s="7" t="inlineStr">
        <is>
          <t>+1 min</t>
        </is>
      </c>
      <c r="I476" s="7" t="inlineStr">
        <is>
          <t>Accepts.</t>
        </is>
      </c>
      <c r="J476" s="7" t="inlineStr">
        <is>
          <t>— Not tested</t>
        </is>
      </c>
      <c r="K476" s="7" t="inlineStr">
        <is>
          <t>— Not tested</t>
        </is>
      </c>
      <c r="L476" s="7" t="inlineStr">
        <is>
          <t>— Not tested</t>
        </is>
      </c>
    </row>
    <row r="477">
      <c r="A477" s="9" t="n">
        <v>476</v>
      </c>
      <c r="B477" s="9" t="inlineStr">
        <is>
          <t>3 — Trades</t>
        </is>
      </c>
      <c r="C477" s="9" t="n">
        <v>46</v>
      </c>
      <c r="D477" s="9" t="inlineStr">
        <is>
          <t>Add Trade — Date/Time Boundaries</t>
        </is>
      </c>
      <c r="E477" s="7" t="inlineStr">
        <is>
          <t>Edge</t>
        </is>
      </c>
      <c r="F477" s="7" t="inlineStr">
        <is>
          <t>P1</t>
        </is>
      </c>
      <c r="G477" s="7" t="inlineStr">
        <is>
          <t>Exit same day, hours later.</t>
        </is>
      </c>
      <c r="H477" s="7" t="inlineStr">
        <is>
          <t>+8 hours</t>
        </is>
      </c>
      <c r="I477" s="7" t="inlineStr">
        <is>
          <t>Accepts.</t>
        </is>
      </c>
      <c r="J477" s="7" t="inlineStr">
        <is>
          <t>— Not tested</t>
        </is>
      </c>
      <c r="K477" s="7" t="inlineStr">
        <is>
          <t>— Not tested</t>
        </is>
      </c>
      <c r="L477" s="7" t="inlineStr">
        <is>
          <t>— Not tested</t>
        </is>
      </c>
    </row>
    <row r="478">
      <c r="A478" s="9" t="n">
        <v>477</v>
      </c>
      <c r="B478" s="9" t="inlineStr">
        <is>
          <t>3 — Trades</t>
        </is>
      </c>
      <c r="C478" s="9" t="n">
        <v>47</v>
      </c>
      <c r="D478" s="9" t="inlineStr">
        <is>
          <t>Add Trade — Multi-Entry/Target Math</t>
        </is>
      </c>
      <c r="E478" s="7" t="inlineStr">
        <is>
          <t>Logic</t>
        </is>
      </c>
      <c r="F478" s="7" t="inlineStr">
        <is>
          <t>P1</t>
        </is>
      </c>
      <c r="G478" s="7" t="inlineStr">
        <is>
          <t>Scale-in lower avg: entries 100+90, qty equal.</t>
        </is>
      </c>
      <c r="H478" s="7" t="inlineStr">
        <is>
          <t>100,90</t>
        </is>
      </c>
      <c r="I478" s="7" t="inlineStr">
        <is>
          <t>Avg entry 95.</t>
        </is>
      </c>
      <c r="J478" s="7" t="inlineStr">
        <is>
          <t>— Not tested</t>
        </is>
      </c>
      <c r="K478" s="7" t="inlineStr">
        <is>
          <t>— Not tested</t>
        </is>
      </c>
      <c r="L478" s="7" t="inlineStr">
        <is>
          <t>— Not tested</t>
        </is>
      </c>
    </row>
    <row r="479">
      <c r="A479" s="9" t="n">
        <v>478</v>
      </c>
      <c r="B479" s="9" t="inlineStr">
        <is>
          <t>3 — Trades</t>
        </is>
      </c>
      <c r="C479" s="9" t="n">
        <v>47</v>
      </c>
      <c r="D479" s="9" t="inlineStr">
        <is>
          <t>Add Trade — Multi-Entry/Target Math</t>
        </is>
      </c>
      <c r="E479" s="7" t="inlineStr">
        <is>
          <t>Logic</t>
        </is>
      </c>
      <c r="F479" s="7" t="inlineStr">
        <is>
          <t>P1</t>
        </is>
      </c>
      <c r="G479" s="7" t="inlineStr">
        <is>
          <t>Scale-in higher avg: entries 90+100.</t>
        </is>
      </c>
      <c r="H479" s="7" t="inlineStr">
        <is>
          <t>90,100</t>
        </is>
      </c>
      <c r="I479" s="7" t="inlineStr">
        <is>
          <t>Avg entry 95.</t>
        </is>
      </c>
      <c r="J479" s="7" t="inlineStr">
        <is>
          <t>— Not tested</t>
        </is>
      </c>
      <c r="K479" s="7" t="inlineStr">
        <is>
          <t>— Not tested</t>
        </is>
      </c>
      <c r="L479" s="7" t="inlineStr">
        <is>
          <t>— Not tested</t>
        </is>
      </c>
    </row>
    <row r="480">
      <c r="A480" s="9" t="n">
        <v>479</v>
      </c>
      <c r="B480" s="9" t="inlineStr">
        <is>
          <t>3 — Trades</t>
        </is>
      </c>
      <c r="C480" s="9" t="n">
        <v>47</v>
      </c>
      <c r="D480" s="9" t="inlineStr">
        <is>
          <t>Add Trade — Multi-Entry/Target Math</t>
        </is>
      </c>
      <c r="E480" s="7" t="inlineStr">
        <is>
          <t>Logic</t>
        </is>
      </c>
      <c r="F480" s="7" t="inlineStr">
        <is>
          <t>P2</t>
        </is>
      </c>
      <c r="G480" s="7" t="inlineStr">
        <is>
          <t>Unequal qty weighting: 10@100 + 1@110.</t>
        </is>
      </c>
      <c r="H480" s="7" t="inlineStr">
        <is>
          <t>weighted</t>
        </is>
      </c>
      <c r="I480" s="7" t="inlineStr">
        <is>
          <t>Avg closer to 100.</t>
        </is>
      </c>
      <c r="J480" s="7" t="inlineStr">
        <is>
          <t>— Not tested</t>
        </is>
      </c>
      <c r="K480" s="7" t="inlineStr">
        <is>
          <t>— Not tested</t>
        </is>
      </c>
      <c r="L480" s="7" t="inlineStr">
        <is>
          <t>— Not tested</t>
        </is>
      </c>
    </row>
    <row r="481">
      <c r="A481" s="9" t="n">
        <v>480</v>
      </c>
      <c r="B481" s="9" t="inlineStr">
        <is>
          <t>3 — Trades</t>
        </is>
      </c>
      <c r="C481" s="9" t="n">
        <v>47</v>
      </c>
      <c r="D481" s="9" t="inlineStr">
        <is>
          <t>Add Trade — Multi-Entry/Target Math</t>
        </is>
      </c>
      <c r="E481" s="7" t="inlineStr">
        <is>
          <t>Logic</t>
        </is>
      </c>
      <c r="F481" s="7" t="inlineStr">
        <is>
          <t>P2</t>
        </is>
      </c>
      <c r="G481" s="7" t="inlineStr">
        <is>
          <t>3 targets at 1R 2R 3R.</t>
        </is>
      </c>
      <c r="H481" s="7" t="inlineStr">
        <is>
          <t>3 TPs</t>
        </is>
      </c>
      <c r="I481" s="7" t="inlineStr">
        <is>
          <t>Planned R reflects nearest or blended — note.</t>
        </is>
      </c>
      <c r="J481" s="7" t="inlineStr">
        <is>
          <t>— Not tested</t>
        </is>
      </c>
      <c r="K481" s="7" t="inlineStr">
        <is>
          <t>— Not tested</t>
        </is>
      </c>
      <c r="L481" s="7" t="inlineStr">
        <is>
          <t>— Not tested</t>
        </is>
      </c>
    </row>
    <row r="482">
      <c r="A482" s="10" t="n">
        <v>481</v>
      </c>
      <c r="B482" s="10" t="inlineStr">
        <is>
          <t>4 — Sources</t>
        </is>
      </c>
      <c r="C482" s="10" t="n">
        <v>48</v>
      </c>
      <c r="D482" s="10" t="inlineStr">
        <is>
          <t>Sources — Type Badge &amp; Footer Visuals</t>
        </is>
      </c>
      <c r="E482" s="7" t="inlineStr">
        <is>
          <t>Structure</t>
        </is>
      </c>
      <c r="F482" s="7" t="inlineStr">
        <is>
          <t>P1</t>
        </is>
      </c>
      <c r="G482" s="7" t="inlineStr">
        <is>
          <t>Select **backtest session**; inspect footer badge.</t>
        </is>
      </c>
      <c r="H482" s="7" t="inlineStr">
        <is>
          <t>backtest session</t>
        </is>
      </c>
      <c r="I482" s="7" t="inlineStr">
        <is>
          <t>Badge shows Backtest blue; after Go: Dashboard shows session trades.</t>
        </is>
      </c>
      <c r="J482" s="7" t="inlineStr">
        <is>
          <t>— Not tested</t>
        </is>
      </c>
      <c r="K482" s="7" t="inlineStr">
        <is>
          <t>— Not tested</t>
        </is>
      </c>
      <c r="L482" s="7" t="inlineStr">
        <is>
          <t>— Not tested</t>
        </is>
      </c>
    </row>
    <row r="483">
      <c r="A483" s="10" t="n">
        <v>482</v>
      </c>
      <c r="B483" s="10" t="inlineStr">
        <is>
          <t>4 — Sources</t>
        </is>
      </c>
      <c r="C483" s="10" t="n">
        <v>48</v>
      </c>
      <c r="D483" s="10" t="inlineStr">
        <is>
          <t>Sources — Type Badge &amp; Footer Visuals</t>
        </is>
      </c>
      <c r="E483" s="7" t="inlineStr">
        <is>
          <t>Structure</t>
        </is>
      </c>
      <c r="F483" s="7" t="inlineStr">
        <is>
          <t>P1</t>
        </is>
      </c>
      <c r="G483" s="7" t="inlineStr">
        <is>
          <t>Select **prop session**; inspect footer badge.</t>
        </is>
      </c>
      <c r="H483" s="7" t="inlineStr">
        <is>
          <t>prop session</t>
        </is>
      </c>
      <c r="I483" s="7" t="inlineStr">
        <is>
          <t>Badge shows Prop gold; after Go: Prop metrics if any.</t>
        </is>
      </c>
      <c r="J483" s="7" t="inlineStr">
        <is>
          <t>— Not tested</t>
        </is>
      </c>
      <c r="K483" s="7" t="inlineStr">
        <is>
          <t>— Not tested</t>
        </is>
      </c>
      <c r="L483" s="7" t="inlineStr">
        <is>
          <t>— Not tested</t>
        </is>
      </c>
    </row>
    <row r="484">
      <c r="A484" s="10" t="n">
        <v>483</v>
      </c>
      <c r="B484" s="10" t="inlineStr">
        <is>
          <t>4 — Sources</t>
        </is>
      </c>
      <c r="C484" s="10" t="n">
        <v>48</v>
      </c>
      <c r="D484" s="10" t="inlineStr">
        <is>
          <t>Sources — Type Badge &amp; Footer Visuals</t>
        </is>
      </c>
      <c r="E484" s="7" t="inlineStr">
        <is>
          <t>Structure</t>
        </is>
      </c>
      <c r="F484" s="7" t="inlineStr">
        <is>
          <t>P1</t>
        </is>
      </c>
      <c r="G484" s="7" t="inlineStr">
        <is>
          <t>Select **strategy aggregate**; inspect footer badge.</t>
        </is>
      </c>
      <c r="H484" s="7" t="inlineStr">
        <is>
          <t>strategy aggregate</t>
        </is>
      </c>
      <c r="I484" s="7" t="inlineStr">
        <is>
          <t>Badge shows Strategy; after Go: Multi-session rollup.</t>
        </is>
      </c>
      <c r="J484" s="7" t="inlineStr">
        <is>
          <t>— Not tested</t>
        </is>
      </c>
      <c r="K484" s="7" t="inlineStr">
        <is>
          <t>— Not tested</t>
        </is>
      </c>
      <c r="L484" s="7" t="inlineStr">
        <is>
          <t>— Not tested</t>
        </is>
      </c>
    </row>
    <row r="485">
      <c r="A485" s="10" t="n">
        <v>484</v>
      </c>
      <c r="B485" s="10" t="inlineStr">
        <is>
          <t>4 — Sources</t>
        </is>
      </c>
      <c r="C485" s="10" t="n">
        <v>48</v>
      </c>
      <c r="D485" s="10" t="inlineStr">
        <is>
          <t>Sources — Type Badge &amp; Footer Visuals</t>
        </is>
      </c>
      <c r="E485" s="7" t="inlineStr">
        <is>
          <t>Structure</t>
        </is>
      </c>
      <c r="F485" s="7" t="inlineStr">
        <is>
          <t>P1</t>
        </is>
      </c>
      <c r="G485" s="7" t="inlineStr">
        <is>
          <t>Select **journal account**; inspect footer badge.</t>
        </is>
      </c>
      <c r="H485" s="7" t="inlineStr">
        <is>
          <t>journal account</t>
        </is>
      </c>
      <c r="I485" s="7" t="inlineStr">
        <is>
          <t>Badge shows Journal green; after Go: Live journal trades.</t>
        </is>
      </c>
      <c r="J485" s="7" t="inlineStr">
        <is>
          <t>— Not tested</t>
        </is>
      </c>
      <c r="K485" s="7" t="inlineStr">
        <is>
          <t>— Not tested</t>
        </is>
      </c>
      <c r="L485" s="7" t="inlineStr">
        <is>
          <t>— Not tested</t>
        </is>
      </c>
    </row>
    <row r="486">
      <c r="A486" s="10" t="n">
        <v>485</v>
      </c>
      <c r="B486" s="10" t="inlineStr">
        <is>
          <t>4 — Sources</t>
        </is>
      </c>
      <c r="C486" s="10" t="n">
        <v>48</v>
      </c>
      <c r="D486" s="10" t="inlineStr">
        <is>
          <t>Sources — Type Badge &amp; Footer Visuals</t>
        </is>
      </c>
      <c r="E486" s="7" t="inlineStr">
        <is>
          <t>Structure</t>
        </is>
      </c>
      <c r="F486" s="7" t="inlineStr">
        <is>
          <t>P1</t>
        </is>
      </c>
      <c r="G486" s="7" t="inlineStr">
        <is>
          <t>Select **journal single entry**; inspect footer badge.</t>
        </is>
      </c>
      <c r="H486" s="7" t="inlineStr">
        <is>
          <t>journal single entry</t>
        </is>
      </c>
      <c r="I486" s="7" t="inlineStr">
        <is>
          <t>Badge shows Journal entry; after Go: Single trade scope.</t>
        </is>
      </c>
      <c r="J486" s="7" t="inlineStr">
        <is>
          <t>— Not tested</t>
        </is>
      </c>
      <c r="K486" s="7" t="inlineStr">
        <is>
          <t>— Not tested</t>
        </is>
      </c>
      <c r="L486" s="7" t="inlineStr">
        <is>
          <t>— Not tested</t>
        </is>
      </c>
    </row>
    <row r="487">
      <c r="A487" s="10" t="n">
        <v>486</v>
      </c>
      <c r="B487" s="10" t="inlineStr">
        <is>
          <t>4 — Sources</t>
        </is>
      </c>
      <c r="C487" s="10" t="n">
        <v>48</v>
      </c>
      <c r="D487" s="10" t="inlineStr">
        <is>
          <t>Sources — Type Badge &amp; Footer Visuals</t>
        </is>
      </c>
      <c r="E487" s="7" t="inlineStr">
        <is>
          <t>Structure</t>
        </is>
      </c>
      <c r="F487" s="7" t="inlineStr">
        <is>
          <t>P2</t>
        </is>
      </c>
      <c r="G487" s="7" t="inlineStr">
        <is>
          <t>List row: trade count label format.</t>
        </is>
      </c>
      <c r="H487" s="7" t="inlineStr">
        <is>
          <t>—</t>
        </is>
      </c>
      <c r="I487" s="7" t="inlineStr">
        <is>
          <t>e.g. '42 trades' readable.</t>
        </is>
      </c>
      <c r="J487" s="7" t="inlineStr">
        <is>
          <t>— Not tested</t>
        </is>
      </c>
      <c r="K487" s="7" t="inlineStr">
        <is>
          <t>— Not tested</t>
        </is>
      </c>
      <c r="L487" s="7" t="inlineStr">
        <is>
          <t>— Not tested</t>
        </is>
      </c>
    </row>
    <row r="488">
      <c r="A488" s="10" t="n">
        <v>487</v>
      </c>
      <c r="B488" s="10" t="inlineStr">
        <is>
          <t>4 — Sources</t>
        </is>
      </c>
      <c r="C488" s="10" t="n">
        <v>48</v>
      </c>
      <c r="D488" s="10" t="inlineStr">
        <is>
          <t>Sources — Type Badge &amp; Footer Visuals</t>
        </is>
      </c>
      <c r="E488" s="7" t="inlineStr">
        <is>
          <t>Structure</t>
        </is>
      </c>
      <c r="F488" s="7" t="inlineStr">
        <is>
          <t>P2</t>
        </is>
      </c>
      <c r="G488" s="7" t="inlineStr">
        <is>
          <t>List row: date range format.</t>
        </is>
      </c>
      <c r="H488" s="7" t="inlineStr">
        <is>
          <t>—</t>
        </is>
      </c>
      <c r="I488" s="7" t="inlineStr">
        <is>
          <t>ISO or locale dates consistent.</t>
        </is>
      </c>
      <c r="J488" s="7" t="inlineStr">
        <is>
          <t>— Not tested</t>
        </is>
      </c>
      <c r="K488" s="7" t="inlineStr">
        <is>
          <t>— Not tested</t>
        </is>
      </c>
      <c r="L488" s="7" t="inlineStr">
        <is>
          <t>— Not tested</t>
        </is>
      </c>
    </row>
    <row r="489">
      <c r="A489" s="10" t="n">
        <v>488</v>
      </c>
      <c r="B489" s="10" t="inlineStr">
        <is>
          <t>4 — Sources</t>
        </is>
      </c>
      <c r="C489" s="10" t="n">
        <v>48</v>
      </c>
      <c r="D489" s="10" t="inlineStr">
        <is>
          <t>Sources — Type Badge &amp; Footer Visuals</t>
        </is>
      </c>
      <c r="E489" s="7" t="inlineStr">
        <is>
          <t>Structure</t>
        </is>
      </c>
      <c r="F489" s="7" t="inlineStr">
        <is>
          <t>P2</t>
        </is>
      </c>
      <c r="G489" s="7" t="inlineStr">
        <is>
          <t>List row: market label (Forex, Futures).</t>
        </is>
      </c>
      <c r="H489" s="7" t="inlineStr">
        <is>
          <t>—</t>
        </is>
      </c>
      <c r="I489" s="7" t="inlineStr">
        <is>
          <t>Correct asset class.</t>
        </is>
      </c>
      <c r="J489" s="7" t="inlineStr">
        <is>
          <t>— Not tested</t>
        </is>
      </c>
      <c r="K489" s="7" t="inlineStr">
        <is>
          <t>— Not tested</t>
        </is>
      </c>
      <c r="L489" s="7" t="inlineStr">
        <is>
          <t>— Not tested</t>
        </is>
      </c>
    </row>
    <row r="490">
      <c r="A490" s="10" t="n">
        <v>489</v>
      </c>
      <c r="B490" s="10" t="inlineStr">
        <is>
          <t>4 — Sources</t>
        </is>
      </c>
      <c r="C490" s="10" t="n">
        <v>48</v>
      </c>
      <c r="D490" s="10" t="inlineStr">
        <is>
          <t>Sources — Type Badge &amp; Footer Visuals</t>
        </is>
      </c>
      <c r="E490" s="7" t="inlineStr">
        <is>
          <t>Structure</t>
        </is>
      </c>
      <c r="F490" s="7" t="inlineStr">
        <is>
          <t>P2</t>
        </is>
      </c>
      <c r="G490" s="7" t="inlineStr">
        <is>
          <t>Strategy group with 0 children.</t>
        </is>
      </c>
      <c r="H490" s="7" t="inlineStr">
        <is>
          <t>empty strategy</t>
        </is>
      </c>
      <c r="I490" s="7" t="inlineStr">
        <is>
          <t>Empty state or disabled Go.</t>
        </is>
      </c>
      <c r="J490" s="7" t="inlineStr">
        <is>
          <t>— Not tested</t>
        </is>
      </c>
      <c r="K490" s="7" t="inlineStr">
        <is>
          <t>— Not tested</t>
        </is>
      </c>
      <c r="L490" s="7" t="inlineStr">
        <is>
          <t>— Not tested</t>
        </is>
      </c>
    </row>
    <row r="491">
      <c r="A491" s="10" t="n">
        <v>490</v>
      </c>
      <c r="B491" s="10" t="inlineStr">
        <is>
          <t>4 — Sources</t>
        </is>
      </c>
      <c r="C491" s="10" t="n">
        <v>48</v>
      </c>
      <c r="D491" s="10" t="inlineStr">
        <is>
          <t>Sources — Type Badge &amp; Footer Visuals</t>
        </is>
      </c>
      <c r="E491" s="7" t="inlineStr">
        <is>
          <t>Structure</t>
        </is>
      </c>
      <c r="F491" s="7" t="inlineStr">
        <is>
          <t>P2</t>
        </is>
      </c>
      <c r="G491" s="7" t="inlineStr">
        <is>
          <t>Select then rapidly click Go 3 times.</t>
        </is>
      </c>
      <c r="H491" s="7" t="inlineStr">
        <is>
          <t>—</t>
        </is>
      </c>
      <c r="I491" s="7" t="inlineStr">
        <is>
          <t>No duplicate navigation or crash.</t>
        </is>
      </c>
      <c r="J491" s="7" t="inlineStr">
        <is>
          <t>— Not tested</t>
        </is>
      </c>
      <c r="K491" s="7" t="inlineStr">
        <is>
          <t>— Not tested</t>
        </is>
      </c>
      <c r="L491" s="7" t="inlineStr">
        <is>
          <t>— Not tested</t>
        </is>
      </c>
    </row>
    <row r="492">
      <c r="A492" s="6" t="n">
        <v>491</v>
      </c>
      <c r="B492" s="6" t="inlineStr">
        <is>
          <t>1 — Strategies</t>
        </is>
      </c>
      <c r="C492" s="6" t="n">
        <v>49</v>
      </c>
      <c r="D492" s="6" t="inlineStr">
        <is>
          <t>Abuse &amp; Security Inputs</t>
        </is>
      </c>
      <c r="E492" s="7" t="inlineStr">
        <is>
          <t>Extreme</t>
        </is>
      </c>
      <c r="F492" s="7" t="inlineStr">
        <is>
          <t>P0</t>
        </is>
      </c>
      <c r="G492" s="7" t="inlineStr">
        <is>
          <t>Strategy name SQL injection</t>
        </is>
      </c>
      <c r="H492" s="7" t="inlineStr">
        <is>
          <t>'; DROP TABLE--</t>
        </is>
      </c>
      <c r="I492" s="7" t="inlineStr">
        <is>
          <t>Displays as text; no DB error.</t>
        </is>
      </c>
      <c r="J492" s="7" t="inlineStr">
        <is>
          <t>— Not tested</t>
        </is>
      </c>
      <c r="K492" s="7" t="inlineStr">
        <is>
          <t>— Not tested</t>
        </is>
      </c>
      <c r="L492" s="7" t="inlineStr">
        <is>
          <t>— Not tested</t>
        </is>
      </c>
    </row>
    <row r="493">
      <c r="A493" s="6" t="n">
        <v>492</v>
      </c>
      <c r="B493" s="6" t="inlineStr">
        <is>
          <t>1 — Strategies</t>
        </is>
      </c>
      <c r="C493" s="6" t="n">
        <v>49</v>
      </c>
      <c r="D493" s="6" t="inlineStr">
        <is>
          <t>Abuse &amp; Security Inputs</t>
        </is>
      </c>
      <c r="E493" s="7" t="inlineStr">
        <is>
          <t>Extreme</t>
        </is>
      </c>
      <c r="F493" s="7" t="inlineStr">
        <is>
          <t>P0</t>
        </is>
      </c>
      <c r="G493" s="7" t="inlineStr">
        <is>
          <t>Strategy name HTML injection</t>
        </is>
      </c>
      <c r="H493" s="7" t="inlineStr">
        <is>
          <t>&lt;img src=x onerror=alert(1)&gt;</t>
        </is>
      </c>
      <c r="I493" s="7" t="inlineStr">
        <is>
          <t>Escaped; no script run.</t>
        </is>
      </c>
      <c r="J493" s="7" t="inlineStr">
        <is>
          <t>— Not tested</t>
        </is>
      </c>
      <c r="K493" s="7" t="inlineStr">
        <is>
          <t>— Not tested</t>
        </is>
      </c>
      <c r="L493" s="7" t="inlineStr">
        <is>
          <t>— Not tested</t>
        </is>
      </c>
    </row>
    <row r="494">
      <c r="A494" s="8" t="n">
        <v>493</v>
      </c>
      <c r="B494" s="8" t="inlineStr">
        <is>
          <t>2 — Sessions</t>
        </is>
      </c>
      <c r="C494" s="8" t="n">
        <v>49</v>
      </c>
      <c r="D494" s="8" t="inlineStr">
        <is>
          <t>Abuse &amp; Security Inputs</t>
        </is>
      </c>
      <c r="E494" s="7" t="inlineStr">
        <is>
          <t>Extreme</t>
        </is>
      </c>
      <c r="F494" s="7" t="inlineStr">
        <is>
          <t>P0</t>
        </is>
      </c>
      <c r="G494" s="7" t="inlineStr">
        <is>
          <t>Session name script tag</t>
        </is>
      </c>
      <c r="H494" s="7" t="inlineStr">
        <is>
          <t>&lt;script&gt;alert(1)&lt;/script&gt;</t>
        </is>
      </c>
      <c r="I494" s="7" t="inlineStr">
        <is>
          <t>Safe display in list.</t>
        </is>
      </c>
      <c r="J494" s="7" t="inlineStr">
        <is>
          <t>— Not tested</t>
        </is>
      </c>
      <c r="K494" s="7" t="inlineStr">
        <is>
          <t>— Not tested</t>
        </is>
      </c>
      <c r="L494" s="7" t="inlineStr">
        <is>
          <t>— Not tested</t>
        </is>
      </c>
    </row>
    <row r="495">
      <c r="A495" s="8" t="n">
        <v>494</v>
      </c>
      <c r="B495" s="8" t="inlineStr">
        <is>
          <t>2 — Sessions</t>
        </is>
      </c>
      <c r="C495" s="8" t="n">
        <v>49</v>
      </c>
      <c r="D495" s="8" t="inlineStr">
        <is>
          <t>Abuse &amp; Security Inputs</t>
        </is>
      </c>
      <c r="E495" s="7" t="inlineStr">
        <is>
          <t>Extreme</t>
        </is>
      </c>
      <c r="F495" s="7" t="inlineStr">
        <is>
          <t>P1</t>
        </is>
      </c>
      <c r="G495" s="7" t="inlineStr">
        <is>
          <t>Capital field paste letters</t>
        </is>
      </c>
      <c r="H495" s="7" t="inlineStr">
        <is>
          <t>abc</t>
        </is>
      </c>
      <c r="I495" s="7" t="inlineStr">
        <is>
          <t>Rejected or ignored.</t>
        </is>
      </c>
      <c r="J495" s="7" t="inlineStr">
        <is>
          <t>— Not tested</t>
        </is>
      </c>
      <c r="K495" s="7" t="inlineStr">
        <is>
          <t>— Not tested</t>
        </is>
      </c>
      <c r="L495" s="7" t="inlineStr">
        <is>
          <t>— Not tested</t>
        </is>
      </c>
    </row>
    <row r="496">
      <c r="A496" s="8" t="n">
        <v>495</v>
      </c>
      <c r="B496" s="8" t="inlineStr">
        <is>
          <t>2 — Sessions</t>
        </is>
      </c>
      <c r="C496" s="8" t="n">
        <v>49</v>
      </c>
      <c r="D496" s="8" t="inlineStr">
        <is>
          <t>Abuse &amp; Security Inputs</t>
        </is>
      </c>
      <c r="E496" s="7" t="inlineStr">
        <is>
          <t>Extreme</t>
        </is>
      </c>
      <c r="F496" s="7" t="inlineStr">
        <is>
          <t>P2</t>
        </is>
      </c>
      <c r="G496" s="7" t="inlineStr">
        <is>
          <t>Capital field paste huge number</t>
        </is>
      </c>
      <c r="H496" s="7" t="inlineStr">
        <is>
          <t>999999999999</t>
        </is>
      </c>
      <c r="I496" s="7" t="inlineStr">
        <is>
          <t>Capped or accepted with warning.</t>
        </is>
      </c>
      <c r="J496" s="7" t="inlineStr">
        <is>
          <t>— Not tested</t>
        </is>
      </c>
      <c r="K496" s="7" t="inlineStr">
        <is>
          <t>— Not tested</t>
        </is>
      </c>
      <c r="L496" s="7" t="inlineStr">
        <is>
          <t>— Not tested</t>
        </is>
      </c>
    </row>
    <row r="497">
      <c r="A497" s="9" t="n">
        <v>496</v>
      </c>
      <c r="B497" s="9" t="inlineStr">
        <is>
          <t>3 — Trades</t>
        </is>
      </c>
      <c r="C497" s="9" t="n">
        <v>49</v>
      </c>
      <c r="D497" s="9" t="inlineStr">
        <is>
          <t>Abuse &amp; Security Inputs</t>
        </is>
      </c>
      <c r="E497" s="7" t="inlineStr">
        <is>
          <t>Extreme</t>
        </is>
      </c>
      <c r="F497" s="7" t="inlineStr">
        <is>
          <t>P1</t>
        </is>
      </c>
      <c r="G497" s="7" t="inlineStr">
        <is>
          <t>Trade notes HTML paste</t>
        </is>
      </c>
      <c r="H497" s="7" t="inlineStr">
        <is>
          <t>&lt;b&gt;bold&lt;/b&gt;</t>
        </is>
      </c>
      <c r="I497" s="7" t="inlineStr">
        <is>
          <t>Plain text or sanitized.</t>
        </is>
      </c>
      <c r="J497" s="7" t="inlineStr">
        <is>
          <t>— Not tested</t>
        </is>
      </c>
      <c r="K497" s="7" t="inlineStr">
        <is>
          <t>— Not tested</t>
        </is>
      </c>
      <c r="L497" s="7" t="inlineStr">
        <is>
          <t>— Not tested</t>
        </is>
      </c>
    </row>
    <row r="498">
      <c r="A498" s="9" t="n">
        <v>497</v>
      </c>
      <c r="B498" s="9" t="inlineStr">
        <is>
          <t>3 — Trades</t>
        </is>
      </c>
      <c r="C498" s="9" t="n">
        <v>49</v>
      </c>
      <c r="D498" s="9" t="inlineStr">
        <is>
          <t>Abuse &amp; Security Inputs</t>
        </is>
      </c>
      <c r="E498" s="7" t="inlineStr">
        <is>
          <t>Extreme</t>
        </is>
      </c>
      <c r="F498" s="7" t="inlineStr">
        <is>
          <t>P2</t>
        </is>
      </c>
      <c r="G498" s="7" t="inlineStr">
        <is>
          <t>Paste 10000 char note</t>
        </is>
      </c>
      <c r="H498" s="7" t="inlineStr">
        <is>
          <t>10k chars</t>
        </is>
      </c>
      <c r="I498" s="7" t="inlineStr">
        <is>
          <t>Truncated or scroll; no crash.</t>
        </is>
      </c>
      <c r="J498" s="7" t="inlineStr">
        <is>
          <t>— Not tested</t>
        </is>
      </c>
      <c r="K498" s="7" t="inlineStr">
        <is>
          <t>— Not tested</t>
        </is>
      </c>
      <c r="L498" s="7" t="inlineStr">
        <is>
          <t>— Not tested</t>
        </is>
      </c>
    </row>
    <row r="499">
      <c r="A499" s="6" t="n">
        <v>498</v>
      </c>
      <c r="B499" s="6" t="inlineStr">
        <is>
          <t>1 — Strategies</t>
        </is>
      </c>
      <c r="C499" s="6" t="n">
        <v>50</v>
      </c>
      <c r="D499" s="6" t="inlineStr">
        <is>
          <t>Responsive Layout — Strategies</t>
        </is>
      </c>
      <c r="E499" s="7" t="inlineStr">
        <is>
          <t>Structure</t>
        </is>
      </c>
      <c r="F499" s="7" t="inlineStr">
        <is>
          <t>P2</t>
        </is>
      </c>
      <c r="G499" s="7" t="inlineStr">
        <is>
          <t>Strategy Bank at viewport **2560px** width.</t>
        </is>
      </c>
      <c r="H499" s="7" t="inlineStr">
        <is>
          <t>2560px</t>
        </is>
      </c>
      <c r="I499" s="7" t="inlineStr">
        <is>
          <t>Header, cards/rows, Build Strategy visible without overlap.</t>
        </is>
      </c>
      <c r="J499" s="7" t="inlineStr">
        <is>
          <t>— Not tested</t>
        </is>
      </c>
      <c r="K499" s="7" t="inlineStr">
        <is>
          <t>— Not tested</t>
        </is>
      </c>
      <c r="L499" s="7" t="inlineStr">
        <is>
          <t>— Not tested</t>
        </is>
      </c>
    </row>
    <row r="500">
      <c r="A500" s="8" t="n">
        <v>499</v>
      </c>
      <c r="B500" s="8" t="inlineStr">
        <is>
          <t>2 — Sessions</t>
        </is>
      </c>
      <c r="C500" s="8" t="n">
        <v>50</v>
      </c>
      <c r="D500" s="8" t="inlineStr">
        <is>
          <t>Responsive Layout — Sessions</t>
        </is>
      </c>
      <c r="E500" s="7" t="inlineStr">
        <is>
          <t>Structure</t>
        </is>
      </c>
      <c r="F500" s="7" t="inlineStr">
        <is>
          <t>P2</t>
        </is>
      </c>
      <c r="G500" s="7" t="inlineStr">
        <is>
          <t>Sessions page at **2560px**.</t>
        </is>
      </c>
      <c r="H500" s="7" t="inlineStr">
        <is>
          <t>2560px</t>
        </is>
      </c>
      <c r="I500" s="7" t="inlineStr">
        <is>
          <t>Stats dashboard + list usable.</t>
        </is>
      </c>
      <c r="J500" s="7" t="inlineStr">
        <is>
          <t>— Not tested</t>
        </is>
      </c>
      <c r="K500" s="7" t="inlineStr">
        <is>
          <t>— Not tested</t>
        </is>
      </c>
      <c r="L500" s="7" t="inlineStr">
        <is>
          <t>— Not tested</t>
        </is>
      </c>
    </row>
    <row r="501">
      <c r="A501" s="9" t="n">
        <v>500</v>
      </c>
      <c r="B501" s="9" t="inlineStr">
        <is>
          <t>3 — Trades</t>
        </is>
      </c>
      <c r="C501" s="9" t="n">
        <v>50</v>
      </c>
      <c r="D501" s="9" t="inlineStr">
        <is>
          <t>Responsive Layout — Trades</t>
        </is>
      </c>
      <c r="E501" s="7" t="inlineStr">
        <is>
          <t>Structure</t>
        </is>
      </c>
      <c r="F501" s="7" t="inlineStr">
        <is>
          <t>P2</t>
        </is>
      </c>
      <c r="G501" s="7" t="inlineStr">
        <is>
          <t>Trades table at **2560px**.</t>
        </is>
      </c>
      <c r="H501" s="7" t="inlineStr">
        <is>
          <t>2560px</t>
        </is>
      </c>
      <c r="I501" s="7" t="inlineStr">
        <is>
          <t>Horizontal scroll or column wrap OK.</t>
        </is>
      </c>
      <c r="J501" s="7" t="inlineStr">
        <is>
          <t>— Not tested</t>
        </is>
      </c>
      <c r="K501" s="7" t="inlineStr">
        <is>
          <t>— Not tested</t>
        </is>
      </c>
      <c r="L501" s="7" t="inlineStr">
        <is>
          <t>— Not tested</t>
        </is>
      </c>
    </row>
    <row r="502">
      <c r="A502" s="10" t="n">
        <v>501</v>
      </c>
      <c r="B502" s="10" t="inlineStr">
        <is>
          <t>4 — Sources</t>
        </is>
      </c>
      <c r="C502" s="10" t="n">
        <v>50</v>
      </c>
      <c r="D502" s="10" t="inlineStr">
        <is>
          <t>Responsive Layout — Sources</t>
        </is>
      </c>
      <c r="E502" s="7" t="inlineStr">
        <is>
          <t>Structure</t>
        </is>
      </c>
      <c r="F502" s="7" t="inlineStr">
        <is>
          <t>P2</t>
        </is>
      </c>
      <c r="G502" s="7" t="inlineStr">
        <is>
          <t>Sources library at **2560px**.</t>
        </is>
      </c>
      <c r="H502" s="7" t="inlineStr">
        <is>
          <t>2560px</t>
        </is>
      </c>
      <c r="I502" s="7" t="inlineStr">
        <is>
          <t>Tree + list + footer visible.</t>
        </is>
      </c>
      <c r="J502" s="7" t="inlineStr">
        <is>
          <t>— Not tested</t>
        </is>
      </c>
      <c r="K502" s="7" t="inlineStr">
        <is>
          <t>— Not tested</t>
        </is>
      </c>
      <c r="L502" s="7" t="inlineStr">
        <is>
          <t>— Not tested</t>
        </is>
      </c>
    </row>
    <row r="503">
      <c r="A503" s="6" t="n">
        <v>502</v>
      </c>
      <c r="B503" s="6" t="inlineStr">
        <is>
          <t>1 — Strategies</t>
        </is>
      </c>
      <c r="C503" s="6" t="n">
        <v>50</v>
      </c>
      <c r="D503" s="6" t="inlineStr">
        <is>
          <t>Responsive Layout — Strategies</t>
        </is>
      </c>
      <c r="E503" s="7" t="inlineStr">
        <is>
          <t>Structure</t>
        </is>
      </c>
      <c r="F503" s="7" t="inlineStr">
        <is>
          <t>P2</t>
        </is>
      </c>
      <c r="G503" s="7" t="inlineStr">
        <is>
          <t>Strategy Bank at viewport **1920px** width.</t>
        </is>
      </c>
      <c r="H503" s="7" t="inlineStr">
        <is>
          <t>1920px</t>
        </is>
      </c>
      <c r="I503" s="7" t="inlineStr">
        <is>
          <t>Header, cards/rows, Build Strategy visible without overlap.</t>
        </is>
      </c>
      <c r="J503" s="7" t="inlineStr">
        <is>
          <t>— Not tested</t>
        </is>
      </c>
      <c r="K503" s="7" t="inlineStr">
        <is>
          <t>— Not tested</t>
        </is>
      </c>
      <c r="L503" s="7" t="inlineStr">
        <is>
          <t>— Not tested</t>
        </is>
      </c>
    </row>
    <row r="504">
      <c r="A504" s="8" t="n">
        <v>503</v>
      </c>
      <c r="B504" s="8" t="inlineStr">
        <is>
          <t>2 — Sessions</t>
        </is>
      </c>
      <c r="C504" s="8" t="n">
        <v>50</v>
      </c>
      <c r="D504" s="8" t="inlineStr">
        <is>
          <t>Responsive Layout — Sessions</t>
        </is>
      </c>
      <c r="E504" s="7" t="inlineStr">
        <is>
          <t>Structure</t>
        </is>
      </c>
      <c r="F504" s="7" t="inlineStr">
        <is>
          <t>P2</t>
        </is>
      </c>
      <c r="G504" s="7" t="inlineStr">
        <is>
          <t>Sessions page at **1920px**.</t>
        </is>
      </c>
      <c r="H504" s="7" t="inlineStr">
        <is>
          <t>1920px</t>
        </is>
      </c>
      <c r="I504" s="7" t="inlineStr">
        <is>
          <t>Stats dashboard + list usable.</t>
        </is>
      </c>
      <c r="J504" s="7" t="inlineStr">
        <is>
          <t>— Not tested</t>
        </is>
      </c>
      <c r="K504" s="7" t="inlineStr">
        <is>
          <t>— Not tested</t>
        </is>
      </c>
      <c r="L504" s="7" t="inlineStr">
        <is>
          <t>— Not tested</t>
        </is>
      </c>
    </row>
    <row r="505">
      <c r="A505" s="9" t="n">
        <v>504</v>
      </c>
      <c r="B505" s="9" t="inlineStr">
        <is>
          <t>3 — Trades</t>
        </is>
      </c>
      <c r="C505" s="9" t="n">
        <v>50</v>
      </c>
      <c r="D505" s="9" t="inlineStr">
        <is>
          <t>Responsive Layout — Trades</t>
        </is>
      </c>
      <c r="E505" s="7" t="inlineStr">
        <is>
          <t>Structure</t>
        </is>
      </c>
      <c r="F505" s="7" t="inlineStr">
        <is>
          <t>P2</t>
        </is>
      </c>
      <c r="G505" s="7" t="inlineStr">
        <is>
          <t>Trades table at **1920px**.</t>
        </is>
      </c>
      <c r="H505" s="7" t="inlineStr">
        <is>
          <t>1920px</t>
        </is>
      </c>
      <c r="I505" s="7" t="inlineStr">
        <is>
          <t>Horizontal scroll or column wrap OK.</t>
        </is>
      </c>
      <c r="J505" s="7" t="inlineStr">
        <is>
          <t>— Not tested</t>
        </is>
      </c>
      <c r="K505" s="7" t="inlineStr">
        <is>
          <t>— Not tested</t>
        </is>
      </c>
      <c r="L505" s="7" t="inlineStr">
        <is>
          <t>— Not tested</t>
        </is>
      </c>
    </row>
    <row r="506">
      <c r="A506" s="10" t="n">
        <v>505</v>
      </c>
      <c r="B506" s="10" t="inlineStr">
        <is>
          <t>4 — Sources</t>
        </is>
      </c>
      <c r="C506" s="10" t="n">
        <v>50</v>
      </c>
      <c r="D506" s="10" t="inlineStr">
        <is>
          <t>Responsive Layout — Sources</t>
        </is>
      </c>
      <c r="E506" s="7" t="inlineStr">
        <is>
          <t>Structure</t>
        </is>
      </c>
      <c r="F506" s="7" t="inlineStr">
        <is>
          <t>P2</t>
        </is>
      </c>
      <c r="G506" s="7" t="inlineStr">
        <is>
          <t>Sources library at **1920px**.</t>
        </is>
      </c>
      <c r="H506" s="7" t="inlineStr">
        <is>
          <t>1920px</t>
        </is>
      </c>
      <c r="I506" s="7" t="inlineStr">
        <is>
          <t>Tree + list + footer visible.</t>
        </is>
      </c>
      <c r="J506" s="7" t="inlineStr">
        <is>
          <t>— Not tested</t>
        </is>
      </c>
      <c r="K506" s="7" t="inlineStr">
        <is>
          <t>— Not tested</t>
        </is>
      </c>
      <c r="L506" s="7" t="inlineStr">
        <is>
          <t>— Not tested</t>
        </is>
      </c>
    </row>
    <row r="507">
      <c r="A507" s="6" t="n">
        <v>506</v>
      </c>
      <c r="B507" s="6" t="inlineStr">
        <is>
          <t>1 — Strategies</t>
        </is>
      </c>
      <c r="C507" s="6" t="n">
        <v>50</v>
      </c>
      <c r="D507" s="6" t="inlineStr">
        <is>
          <t>Responsive Layout — Strategies</t>
        </is>
      </c>
      <c r="E507" s="7" t="inlineStr">
        <is>
          <t>Structure</t>
        </is>
      </c>
      <c r="F507" s="7" t="inlineStr">
        <is>
          <t>P2</t>
        </is>
      </c>
      <c r="G507" s="7" t="inlineStr">
        <is>
          <t>Strategy Bank at viewport **1440px** width.</t>
        </is>
      </c>
      <c r="H507" s="7" t="inlineStr">
        <is>
          <t>1440px</t>
        </is>
      </c>
      <c r="I507" s="7" t="inlineStr">
        <is>
          <t>Header, cards/rows, Build Strategy visible without overlap.</t>
        </is>
      </c>
      <c r="J507" s="7" t="inlineStr">
        <is>
          <t>— Not tested</t>
        </is>
      </c>
      <c r="K507" s="7" t="inlineStr">
        <is>
          <t>— Not tested</t>
        </is>
      </c>
      <c r="L507" s="7" t="inlineStr">
        <is>
          <t>— Not tested</t>
        </is>
      </c>
    </row>
    <row r="508">
      <c r="A508" s="8" t="n">
        <v>507</v>
      </c>
      <c r="B508" s="8" t="inlineStr">
        <is>
          <t>2 — Sessions</t>
        </is>
      </c>
      <c r="C508" s="8" t="n">
        <v>50</v>
      </c>
      <c r="D508" s="8" t="inlineStr">
        <is>
          <t>Responsive Layout — Sessions</t>
        </is>
      </c>
      <c r="E508" s="7" t="inlineStr">
        <is>
          <t>Structure</t>
        </is>
      </c>
      <c r="F508" s="7" t="inlineStr">
        <is>
          <t>P2</t>
        </is>
      </c>
      <c r="G508" s="7" t="inlineStr">
        <is>
          <t>Sessions page at **1440px**.</t>
        </is>
      </c>
      <c r="H508" s="7" t="inlineStr">
        <is>
          <t>1440px</t>
        </is>
      </c>
      <c r="I508" s="7" t="inlineStr">
        <is>
          <t>Stats dashboard + list usable.</t>
        </is>
      </c>
      <c r="J508" s="7" t="inlineStr">
        <is>
          <t>— Not tested</t>
        </is>
      </c>
      <c r="K508" s="7" t="inlineStr">
        <is>
          <t>— Not tested</t>
        </is>
      </c>
      <c r="L508" s="7" t="inlineStr">
        <is>
          <t>— Not tested</t>
        </is>
      </c>
    </row>
    <row r="509">
      <c r="A509" s="9" t="n">
        <v>508</v>
      </c>
      <c r="B509" s="9" t="inlineStr">
        <is>
          <t>3 — Trades</t>
        </is>
      </c>
      <c r="C509" s="9" t="n">
        <v>50</v>
      </c>
      <c r="D509" s="9" t="inlineStr">
        <is>
          <t>Responsive Layout — Trades</t>
        </is>
      </c>
      <c r="E509" s="7" t="inlineStr">
        <is>
          <t>Structure</t>
        </is>
      </c>
      <c r="F509" s="7" t="inlineStr">
        <is>
          <t>P2</t>
        </is>
      </c>
      <c r="G509" s="7" t="inlineStr">
        <is>
          <t>Trades table at **1440px**.</t>
        </is>
      </c>
      <c r="H509" s="7" t="inlineStr">
        <is>
          <t>1440px</t>
        </is>
      </c>
      <c r="I509" s="7" t="inlineStr">
        <is>
          <t>Horizontal scroll or column wrap OK.</t>
        </is>
      </c>
      <c r="J509" s="7" t="inlineStr">
        <is>
          <t>— Not tested</t>
        </is>
      </c>
      <c r="K509" s="7" t="inlineStr">
        <is>
          <t>— Not tested</t>
        </is>
      </c>
      <c r="L509" s="7" t="inlineStr">
        <is>
          <t>— Not tested</t>
        </is>
      </c>
    </row>
    <row r="510">
      <c r="A510" s="10" t="n">
        <v>509</v>
      </c>
      <c r="B510" s="10" t="inlineStr">
        <is>
          <t>4 — Sources</t>
        </is>
      </c>
      <c r="C510" s="10" t="n">
        <v>50</v>
      </c>
      <c r="D510" s="10" t="inlineStr">
        <is>
          <t>Responsive Layout — Sources</t>
        </is>
      </c>
      <c r="E510" s="7" t="inlineStr">
        <is>
          <t>Structure</t>
        </is>
      </c>
      <c r="F510" s="7" t="inlineStr">
        <is>
          <t>P2</t>
        </is>
      </c>
      <c r="G510" s="7" t="inlineStr">
        <is>
          <t>Sources library at **1440px**.</t>
        </is>
      </c>
      <c r="H510" s="7" t="inlineStr">
        <is>
          <t>1440px</t>
        </is>
      </c>
      <c r="I510" s="7" t="inlineStr">
        <is>
          <t>Tree + list + footer visible.</t>
        </is>
      </c>
      <c r="J510" s="7" t="inlineStr">
        <is>
          <t>— Not tested</t>
        </is>
      </c>
      <c r="K510" s="7" t="inlineStr">
        <is>
          <t>— Not tested</t>
        </is>
      </c>
      <c r="L510" s="7" t="inlineStr">
        <is>
          <t>— Not tested</t>
        </is>
      </c>
    </row>
    <row r="511">
      <c r="A511" s="6" t="n">
        <v>510</v>
      </c>
      <c r="B511" s="6" t="inlineStr">
        <is>
          <t>1 — Strategies</t>
        </is>
      </c>
      <c r="C511" s="6" t="n">
        <v>50</v>
      </c>
      <c r="D511" s="6" t="inlineStr">
        <is>
          <t>Responsive Layout — Strategies</t>
        </is>
      </c>
      <c r="E511" s="7" t="inlineStr">
        <is>
          <t>Structure</t>
        </is>
      </c>
      <c r="F511" s="7" t="inlineStr">
        <is>
          <t>P2</t>
        </is>
      </c>
      <c r="G511" s="7" t="inlineStr">
        <is>
          <t>Strategy Bank at viewport **1280px** width.</t>
        </is>
      </c>
      <c r="H511" s="7" t="inlineStr">
        <is>
          <t>1280px</t>
        </is>
      </c>
      <c r="I511" s="7" t="inlineStr">
        <is>
          <t>Header, cards/rows, Build Strategy visible without overlap.</t>
        </is>
      </c>
      <c r="J511" s="7" t="inlineStr">
        <is>
          <t>— Not tested</t>
        </is>
      </c>
      <c r="K511" s="7" t="inlineStr">
        <is>
          <t>— Not tested</t>
        </is>
      </c>
      <c r="L511" s="7" t="inlineStr">
        <is>
          <t>— Not tested</t>
        </is>
      </c>
    </row>
    <row r="512">
      <c r="A512" s="8" t="n">
        <v>511</v>
      </c>
      <c r="B512" s="8" t="inlineStr">
        <is>
          <t>2 — Sessions</t>
        </is>
      </c>
      <c r="C512" s="8" t="n">
        <v>50</v>
      </c>
      <c r="D512" s="8" t="inlineStr">
        <is>
          <t>Responsive Layout — Sessions</t>
        </is>
      </c>
      <c r="E512" s="7" t="inlineStr">
        <is>
          <t>Structure</t>
        </is>
      </c>
      <c r="F512" s="7" t="inlineStr">
        <is>
          <t>P2</t>
        </is>
      </c>
      <c r="G512" s="7" t="inlineStr">
        <is>
          <t>Sessions page at **1280px**.</t>
        </is>
      </c>
      <c r="H512" s="7" t="inlineStr">
        <is>
          <t>1280px</t>
        </is>
      </c>
      <c r="I512" s="7" t="inlineStr">
        <is>
          <t>Stats dashboard + list usable.</t>
        </is>
      </c>
      <c r="J512" s="7" t="inlineStr">
        <is>
          <t>— Not tested</t>
        </is>
      </c>
      <c r="K512" s="7" t="inlineStr">
        <is>
          <t>— Not tested</t>
        </is>
      </c>
      <c r="L512" s="7" t="inlineStr">
        <is>
          <t>— Not tested</t>
        </is>
      </c>
    </row>
    <row r="513">
      <c r="A513" s="9" t="n">
        <v>512</v>
      </c>
      <c r="B513" s="9" t="inlineStr">
        <is>
          <t>3 — Trades</t>
        </is>
      </c>
      <c r="C513" s="9" t="n">
        <v>50</v>
      </c>
      <c r="D513" s="9" t="inlineStr">
        <is>
          <t>Responsive Layout — Trades</t>
        </is>
      </c>
      <c r="E513" s="7" t="inlineStr">
        <is>
          <t>Structure</t>
        </is>
      </c>
      <c r="F513" s="7" t="inlineStr">
        <is>
          <t>P2</t>
        </is>
      </c>
      <c r="G513" s="7" t="inlineStr">
        <is>
          <t>Trades table at **1280px**.</t>
        </is>
      </c>
      <c r="H513" s="7" t="inlineStr">
        <is>
          <t>1280px</t>
        </is>
      </c>
      <c r="I513" s="7" t="inlineStr">
        <is>
          <t>Horizontal scroll or column wrap OK.</t>
        </is>
      </c>
      <c r="J513" s="7" t="inlineStr">
        <is>
          <t>— Not tested</t>
        </is>
      </c>
      <c r="K513" s="7" t="inlineStr">
        <is>
          <t>— Not tested</t>
        </is>
      </c>
      <c r="L513" s="7" t="inlineStr">
        <is>
          <t>— Not tested</t>
        </is>
      </c>
    </row>
    <row r="514">
      <c r="A514" s="10" t="n">
        <v>513</v>
      </c>
      <c r="B514" s="10" t="inlineStr">
        <is>
          <t>4 — Sources</t>
        </is>
      </c>
      <c r="C514" s="10" t="n">
        <v>50</v>
      </c>
      <c r="D514" s="10" t="inlineStr">
        <is>
          <t>Responsive Layout — Sources</t>
        </is>
      </c>
      <c r="E514" s="7" t="inlineStr">
        <is>
          <t>Structure</t>
        </is>
      </c>
      <c r="F514" s="7" t="inlineStr">
        <is>
          <t>P2</t>
        </is>
      </c>
      <c r="G514" s="7" t="inlineStr">
        <is>
          <t>Sources library at **1280px**.</t>
        </is>
      </c>
      <c r="H514" s="7" t="inlineStr">
        <is>
          <t>1280px</t>
        </is>
      </c>
      <c r="I514" s="7" t="inlineStr">
        <is>
          <t>Tree + list + footer visible.</t>
        </is>
      </c>
      <c r="J514" s="7" t="inlineStr">
        <is>
          <t>— Not tested</t>
        </is>
      </c>
      <c r="K514" s="7" t="inlineStr">
        <is>
          <t>— Not tested</t>
        </is>
      </c>
      <c r="L514" s="7" t="inlineStr">
        <is>
          <t>— Not tested</t>
        </is>
      </c>
    </row>
    <row r="515">
      <c r="A515" s="6" t="n">
        <v>514</v>
      </c>
      <c r="B515" s="6" t="inlineStr">
        <is>
          <t>1 — Strategies</t>
        </is>
      </c>
      <c r="C515" s="6" t="n">
        <v>50</v>
      </c>
      <c r="D515" s="6" t="inlineStr">
        <is>
          <t>Responsive Layout — Strategies</t>
        </is>
      </c>
      <c r="E515" s="7" t="inlineStr">
        <is>
          <t>Structure</t>
        </is>
      </c>
      <c r="F515" s="7" t="inlineStr">
        <is>
          <t>P2</t>
        </is>
      </c>
      <c r="G515" s="7" t="inlineStr">
        <is>
          <t>Strategy Bank at viewport **1024px** width.</t>
        </is>
      </c>
      <c r="H515" s="7" t="inlineStr">
        <is>
          <t>1024px</t>
        </is>
      </c>
      <c r="I515" s="7" t="inlineStr">
        <is>
          <t>Header, cards/rows, Build Strategy visible without overlap.</t>
        </is>
      </c>
      <c r="J515" s="7" t="inlineStr">
        <is>
          <t>— Not tested</t>
        </is>
      </c>
      <c r="K515" s="7" t="inlineStr">
        <is>
          <t>— Not tested</t>
        </is>
      </c>
      <c r="L515" s="7" t="inlineStr">
        <is>
          <t>— Not tested</t>
        </is>
      </c>
    </row>
    <row r="516">
      <c r="A516" s="8" t="n">
        <v>515</v>
      </c>
      <c r="B516" s="8" t="inlineStr">
        <is>
          <t>2 — Sessions</t>
        </is>
      </c>
      <c r="C516" s="8" t="n">
        <v>50</v>
      </c>
      <c r="D516" s="8" t="inlineStr">
        <is>
          <t>Responsive Layout — Sessions</t>
        </is>
      </c>
      <c r="E516" s="7" t="inlineStr">
        <is>
          <t>Structure</t>
        </is>
      </c>
      <c r="F516" s="7" t="inlineStr">
        <is>
          <t>P2</t>
        </is>
      </c>
      <c r="G516" s="7" t="inlineStr">
        <is>
          <t>Sessions page at **1024px**.</t>
        </is>
      </c>
      <c r="H516" s="7" t="inlineStr">
        <is>
          <t>1024px</t>
        </is>
      </c>
      <c r="I516" s="7" t="inlineStr">
        <is>
          <t>Stats dashboard + list usable.</t>
        </is>
      </c>
      <c r="J516" s="7" t="inlineStr">
        <is>
          <t>— Not tested</t>
        </is>
      </c>
      <c r="K516" s="7" t="inlineStr">
        <is>
          <t>— Not tested</t>
        </is>
      </c>
      <c r="L516" s="7" t="inlineStr">
        <is>
          <t>— Not tested</t>
        </is>
      </c>
    </row>
    <row r="517">
      <c r="A517" s="9" t="n">
        <v>516</v>
      </c>
      <c r="B517" s="9" t="inlineStr">
        <is>
          <t>3 — Trades</t>
        </is>
      </c>
      <c r="C517" s="9" t="n">
        <v>50</v>
      </c>
      <c r="D517" s="9" t="inlineStr">
        <is>
          <t>Responsive Layout — Trades</t>
        </is>
      </c>
      <c r="E517" s="7" t="inlineStr">
        <is>
          <t>Structure</t>
        </is>
      </c>
      <c r="F517" s="7" t="inlineStr">
        <is>
          <t>P2</t>
        </is>
      </c>
      <c r="G517" s="7" t="inlineStr">
        <is>
          <t>Trades table at **1024px**.</t>
        </is>
      </c>
      <c r="H517" s="7" t="inlineStr">
        <is>
          <t>1024px</t>
        </is>
      </c>
      <c r="I517" s="7" t="inlineStr">
        <is>
          <t>Horizontal scroll or column wrap OK.</t>
        </is>
      </c>
      <c r="J517" s="7" t="inlineStr">
        <is>
          <t>— Not tested</t>
        </is>
      </c>
      <c r="K517" s="7" t="inlineStr">
        <is>
          <t>— Not tested</t>
        </is>
      </c>
      <c r="L517" s="7" t="inlineStr">
        <is>
          <t>— Not tested</t>
        </is>
      </c>
    </row>
    <row r="518">
      <c r="A518" s="10" t="n">
        <v>517</v>
      </c>
      <c r="B518" s="10" t="inlineStr">
        <is>
          <t>4 — Sources</t>
        </is>
      </c>
      <c r="C518" s="10" t="n">
        <v>50</v>
      </c>
      <c r="D518" s="10" t="inlineStr">
        <is>
          <t>Responsive Layout — Sources</t>
        </is>
      </c>
      <c r="E518" s="7" t="inlineStr">
        <is>
          <t>Structure</t>
        </is>
      </c>
      <c r="F518" s="7" t="inlineStr">
        <is>
          <t>P2</t>
        </is>
      </c>
      <c r="G518" s="7" t="inlineStr">
        <is>
          <t>Sources library at **1024px**.</t>
        </is>
      </c>
      <c r="H518" s="7" t="inlineStr">
        <is>
          <t>1024px</t>
        </is>
      </c>
      <c r="I518" s="7" t="inlineStr">
        <is>
          <t>Tree + list + footer visible.</t>
        </is>
      </c>
      <c r="J518" s="7" t="inlineStr">
        <is>
          <t>— Not tested</t>
        </is>
      </c>
      <c r="K518" s="7" t="inlineStr">
        <is>
          <t>— Not tested</t>
        </is>
      </c>
      <c r="L518" s="7" t="inlineStr">
        <is>
          <t>— Not tested</t>
        </is>
      </c>
    </row>
    <row r="519">
      <c r="A519" s="8" t="n">
        <v>518</v>
      </c>
      <c r="B519" s="8" t="inlineStr">
        <is>
          <t>2 — Sessions</t>
        </is>
      </c>
      <c r="C519" s="8" t="n">
        <v>51</v>
      </c>
      <c r="D519" s="8" t="inlineStr">
        <is>
          <t>Add Session — Toggle Disabled States</t>
        </is>
      </c>
      <c r="E519" s="7" t="inlineStr">
        <is>
          <t>Structure</t>
        </is>
      </c>
      <c r="F519" s="7" t="inlineStr">
        <is>
          <t>P2</t>
        </is>
      </c>
      <c r="G519" s="7" t="inlineStr">
        <is>
          <t>P1 min days OFF → input grayed.</t>
        </is>
      </c>
      <c r="H519" s="7" t="inlineStr">
        <is>
          <t>sessP1MinDaysEnabled=false</t>
        </is>
      </c>
      <c r="I519" s="7" t="inlineStr">
        <is>
          <t>Cannot edit min days.</t>
        </is>
      </c>
      <c r="J519" s="7" t="inlineStr">
        <is>
          <t>— Not tested</t>
        </is>
      </c>
      <c r="K519" s="7" t="inlineStr">
        <is>
          <t>— Not tested</t>
        </is>
      </c>
      <c r="L519" s="7" t="inlineStr">
        <is>
          <t>— Not tested</t>
        </is>
      </c>
    </row>
    <row r="520">
      <c r="A520" s="8" t="n">
        <v>519</v>
      </c>
      <c r="B520" s="8" t="inlineStr">
        <is>
          <t>2 — Sessions</t>
        </is>
      </c>
      <c r="C520" s="8" t="n">
        <v>51</v>
      </c>
      <c r="D520" s="8" t="inlineStr">
        <is>
          <t>Add Session — Toggle Disabled States</t>
        </is>
      </c>
      <c r="E520" s="7" t="inlineStr">
        <is>
          <t>Structure</t>
        </is>
      </c>
      <c r="F520" s="7" t="inlineStr">
        <is>
          <t>P2</t>
        </is>
      </c>
      <c r="G520" s="7" t="inlineStr">
        <is>
          <t>P2 min days OFF.</t>
        </is>
      </c>
      <c r="H520" s="7" t="inlineStr">
        <is>
          <t>phase 2</t>
        </is>
      </c>
      <c r="I520" s="7" t="inlineStr">
        <is>
          <t>Same.</t>
        </is>
      </c>
      <c r="J520" s="7" t="inlineStr">
        <is>
          <t>— Not tested</t>
        </is>
      </c>
      <c r="K520" s="7" t="inlineStr">
        <is>
          <t>— Not tested</t>
        </is>
      </c>
      <c r="L520" s="7" t="inlineStr">
        <is>
          <t>— Not tested</t>
        </is>
      </c>
    </row>
    <row r="521">
      <c r="A521" s="8" t="n">
        <v>520</v>
      </c>
      <c r="B521" s="8" t="inlineStr">
        <is>
          <t>2 — Sessions</t>
        </is>
      </c>
      <c r="C521" s="8" t="n">
        <v>51</v>
      </c>
      <c r="D521" s="8" t="inlineStr">
        <is>
          <t>Add Session — Toggle Disabled States</t>
        </is>
      </c>
      <c r="E521" s="7" t="inlineStr">
        <is>
          <t>Structure</t>
        </is>
      </c>
      <c r="F521" s="7" t="inlineStr">
        <is>
          <t>P2</t>
        </is>
      </c>
      <c r="G521" s="7" t="inlineStr">
        <is>
          <t>Consistency rule OFF → % grayed.</t>
        </is>
      </c>
      <c r="H521" s="7" t="inlineStr">
        <is>
          <t>—</t>
        </is>
      </c>
      <c r="I521" s="7" t="inlineStr">
        <is>
          <t>Field disabled.</t>
        </is>
      </c>
      <c r="J521" s="7" t="inlineStr">
        <is>
          <t>— Not tested</t>
        </is>
      </c>
      <c r="K521" s="7" t="inlineStr">
        <is>
          <t>— Not tested</t>
        </is>
      </c>
      <c r="L521" s="7" t="inlineStr">
        <is>
          <t>— Not tested</t>
        </is>
      </c>
    </row>
    <row r="522">
      <c r="A522" s="8" t="n">
        <v>521</v>
      </c>
      <c r="B522" s="8" t="inlineStr">
        <is>
          <t>2 — Sessions</t>
        </is>
      </c>
      <c r="C522" s="8" t="n">
        <v>51</v>
      </c>
      <c r="D522" s="8" t="inlineStr">
        <is>
          <t>Add Session — Toggle Disabled States</t>
        </is>
      </c>
      <c r="E522" s="7" t="inlineStr">
        <is>
          <t>Structure</t>
        </is>
      </c>
      <c r="F522" s="7" t="inlineStr">
        <is>
          <t>P2</t>
        </is>
      </c>
      <c r="G522" s="7" t="inlineStr">
        <is>
          <t>Max contracts OFF.</t>
        </is>
      </c>
      <c r="H522" s="7" t="inlineStr">
        <is>
          <t>—</t>
        </is>
      </c>
      <c r="I522" s="7" t="inlineStr">
        <is>
          <t>Contracts input disabled.</t>
        </is>
      </c>
      <c r="J522" s="7" t="inlineStr">
        <is>
          <t>— Not tested</t>
        </is>
      </c>
      <c r="K522" s="7" t="inlineStr">
        <is>
          <t>— Not tested</t>
        </is>
      </c>
      <c r="L522" s="7" t="inlineStr">
        <is>
          <t>— Not tested</t>
        </is>
      </c>
    </row>
    <row r="523">
      <c r="A523" s="8" t="n">
        <v>522</v>
      </c>
      <c r="B523" s="8" t="inlineStr">
        <is>
          <t>2 — Sessions</t>
        </is>
      </c>
      <c r="C523" s="8" t="n">
        <v>51</v>
      </c>
      <c r="D523" s="8" t="inlineStr">
        <is>
          <t>Add Session — Toggle Disabled States</t>
        </is>
      </c>
      <c r="E523" s="7" t="inlineStr">
        <is>
          <t>Structure</t>
        </is>
      </c>
      <c r="F523" s="7" t="inlineStr">
        <is>
          <t>P2</t>
        </is>
      </c>
      <c r="G523" s="7" t="inlineStr">
        <is>
          <t>Max lots OFF.</t>
        </is>
      </c>
      <c r="H523" s="7" t="inlineStr">
        <is>
          <t>—</t>
        </is>
      </c>
      <c r="I523" s="7" t="inlineStr">
        <is>
          <t>Lots input disabled.</t>
        </is>
      </c>
      <c r="J523" s="7" t="inlineStr">
        <is>
          <t>— Not tested</t>
        </is>
      </c>
      <c r="K523" s="7" t="inlineStr">
        <is>
          <t>— Not tested</t>
        </is>
      </c>
      <c r="L523" s="7" t="inlineStr">
        <is>
          <t>— Not tested</t>
        </is>
      </c>
    </row>
    <row r="524">
      <c r="A524" s="8" t="n">
        <v>523</v>
      </c>
      <c r="B524" s="8" t="inlineStr">
        <is>
          <t>2 — Sessions</t>
        </is>
      </c>
      <c r="C524" s="8" t="n">
        <v>51</v>
      </c>
      <c r="D524" s="8" t="inlineStr">
        <is>
          <t>Add Session — Toggle Disabled States</t>
        </is>
      </c>
      <c r="E524" s="7" t="inlineStr">
        <is>
          <t>Structure</t>
        </is>
      </c>
      <c r="F524" s="7" t="inlineStr">
        <is>
          <t>P2</t>
        </is>
      </c>
      <c r="G524" s="7" t="inlineStr">
        <is>
          <t>MFE/MAE OFF → hours field disabled.</t>
        </is>
      </c>
      <c r="H524" s="7" t="inlineStr">
        <is>
          <t>—</t>
        </is>
      </c>
      <c r="I524" s="7" t="inlineStr">
        <is>
          <t>Grayed out.</t>
        </is>
      </c>
      <c r="J524" s="7" t="inlineStr">
        <is>
          <t>— Not tested</t>
        </is>
      </c>
      <c r="K524" s="7" t="inlineStr">
        <is>
          <t>— Not tested</t>
        </is>
      </c>
      <c r="L524" s="7" t="inlineStr">
        <is>
          <t>— Not tested</t>
        </is>
      </c>
    </row>
    <row r="525">
      <c r="A525" s="8" t="n">
        <v>524</v>
      </c>
      <c r="B525" s="8" t="inlineStr">
        <is>
          <t>2 — Sessions</t>
        </is>
      </c>
      <c r="C525" s="8" t="n">
        <v>51</v>
      </c>
      <c r="D525" s="8" t="inlineStr">
        <is>
          <t>Add Session — Toggle Disabled States</t>
        </is>
      </c>
      <c r="E525" s="7" t="inlineStr">
        <is>
          <t>Structure</t>
        </is>
      </c>
      <c r="F525" s="7" t="inlineStr">
        <is>
          <t>P2</t>
        </is>
      </c>
      <c r="G525" s="7" t="inlineStr">
        <is>
          <t>Supporting tickers OFF → picker hidden.</t>
        </is>
      </c>
      <c r="H525" s="7" t="inlineStr">
        <is>
          <t>—</t>
        </is>
      </c>
      <c r="I525" s="7" t="inlineStr">
        <is>
          <t>Section collapsed.</t>
        </is>
      </c>
      <c r="J525" s="7" t="inlineStr">
        <is>
          <t>— Not tested</t>
        </is>
      </c>
      <c r="K525" s="7" t="inlineStr">
        <is>
          <t>— Not tested</t>
        </is>
      </c>
      <c r="L525" s="7" t="inlineStr">
        <is>
          <t>— Not tested</t>
        </is>
      </c>
    </row>
    <row r="526">
      <c r="A526" s="8" t="n">
        <v>525</v>
      </c>
      <c r="B526" s="8" t="inlineStr">
        <is>
          <t>2 — Sessions</t>
        </is>
      </c>
      <c r="C526" s="8" t="n">
        <v>51</v>
      </c>
      <c r="D526" s="8" t="inlineStr">
        <is>
          <t>Add Session — Toggle Disabled States</t>
        </is>
      </c>
      <c r="E526" s="7" t="inlineStr">
        <is>
          <t>Structure</t>
        </is>
      </c>
      <c r="F526" s="7" t="inlineStr">
        <is>
          <t>P2</t>
        </is>
      </c>
      <c r="G526" s="7" t="inlineStr">
        <is>
          <t>Trading costs OFF → per-class overrides hidden.</t>
        </is>
      </c>
      <c r="H526" s="7" t="inlineStr">
        <is>
          <t>—</t>
        </is>
      </c>
      <c r="I526" s="7" t="inlineStr">
        <is>
          <t>Section collapsed.</t>
        </is>
      </c>
      <c r="J526" s="7" t="inlineStr">
        <is>
          <t>— Not tested</t>
        </is>
      </c>
      <c r="K526" s="7" t="inlineStr">
        <is>
          <t>— Not tested</t>
        </is>
      </c>
      <c r="L526" s="7" t="inlineStr">
        <is>
          <t>— Not tested</t>
        </is>
      </c>
    </row>
    <row r="527">
      <c r="A527" s="6" t="n">
        <v>526</v>
      </c>
      <c r="B527" s="6" t="inlineStr">
        <is>
          <t>1 — Strategies</t>
        </is>
      </c>
      <c r="C527" s="6" t="n">
        <v>52</v>
      </c>
      <c r="D527" s="6" t="inlineStr">
        <is>
          <t>Strategy Bank — Community Tab (disabled)</t>
        </is>
      </c>
      <c r="E527" s="7" t="inlineStr">
        <is>
          <t>Edge</t>
        </is>
      </c>
      <c r="F527" s="7" t="inlineStr">
        <is>
          <t>P2</t>
        </is>
      </c>
      <c r="G527" s="7" t="inlineStr">
        <is>
          <t>Community tab visible but disabled.</t>
        </is>
      </c>
      <c r="H527" s="7" t="inlineStr">
        <is>
          <t>—</t>
        </is>
      </c>
      <c r="I527" s="7" t="inlineStr">
        <is>
          <t>Grayed; cannot activate.</t>
        </is>
      </c>
      <c r="J527" s="7" t="inlineStr">
        <is>
          <t>— Not tested</t>
        </is>
      </c>
      <c r="K527" s="7" t="inlineStr">
        <is>
          <t>— Not tested</t>
        </is>
      </c>
      <c r="L527" s="7" t="inlineStr">
        <is>
          <t>— Not tested</t>
        </is>
      </c>
    </row>
    <row r="528">
      <c r="A528" s="6" t="n">
        <v>527</v>
      </c>
      <c r="B528" s="6" t="inlineStr">
        <is>
          <t>1 — Strategies</t>
        </is>
      </c>
      <c r="C528" s="6" t="n">
        <v>52</v>
      </c>
      <c r="D528" s="6" t="inlineStr">
        <is>
          <t>Strategy Bank — Community Tab (disabled)</t>
        </is>
      </c>
      <c r="E528" s="7" t="inlineStr">
        <is>
          <t>Edge</t>
        </is>
      </c>
      <c r="F528" s="7" t="inlineStr">
        <is>
          <t>P2</t>
        </is>
      </c>
      <c r="G528" s="7" t="inlineStr">
        <is>
          <t>If Community enabled in future build: sort by Win Rate, Name, P&amp;L.</t>
        </is>
      </c>
      <c r="H528" s="7" t="inlineStr">
        <is>
          <t>—</t>
        </is>
      </c>
      <c r="I528" s="7" t="inlineStr">
        <is>
          <t>Skip if disabled; note N/A.</t>
        </is>
      </c>
      <c r="J528" s="7" t="inlineStr">
        <is>
          <t>— Not tested</t>
        </is>
      </c>
      <c r="K528" s="7" t="inlineStr">
        <is>
          <t>— Not tested</t>
        </is>
      </c>
      <c r="L528" s="7" t="inlineStr">
        <is>
          <t>— Not tested</t>
        </is>
      </c>
    </row>
    <row r="529">
      <c r="A529" s="9" t="n">
        <v>528</v>
      </c>
      <c r="B529" s="9" t="inlineStr">
        <is>
          <t>3 — Trades</t>
        </is>
      </c>
      <c r="C529" s="9" t="n">
        <v>53</v>
      </c>
      <c r="D529" s="9" t="inlineStr">
        <is>
          <t>Trades — Import/Export File Matrix</t>
        </is>
      </c>
      <c r="E529" s="7" t="inlineStr">
        <is>
          <t>Edge</t>
        </is>
      </c>
      <c r="F529" s="7" t="inlineStr">
        <is>
          <t>P1</t>
        </is>
      </c>
      <c r="G529" s="7" t="inlineStr">
        <is>
          <t>Export → open CSV in Excel.</t>
        </is>
      </c>
      <c r="H529" s="7" t="inlineStr">
        <is>
          <t>—</t>
        </is>
      </c>
      <c r="I529" s="7" t="inlineStr">
        <is>
          <t>Columns readable; dates parse.</t>
        </is>
      </c>
      <c r="J529" s="7" t="inlineStr">
        <is>
          <t>— Not tested</t>
        </is>
      </c>
      <c r="K529" s="7" t="inlineStr">
        <is>
          <t>— Not tested</t>
        </is>
      </c>
      <c r="L529" s="7" t="inlineStr">
        <is>
          <t>— Not tested</t>
        </is>
      </c>
    </row>
    <row r="530">
      <c r="A530" s="9" t="n">
        <v>529</v>
      </c>
      <c r="B530" s="9" t="inlineStr">
        <is>
          <t>3 — Trades</t>
        </is>
      </c>
      <c r="C530" s="9" t="n">
        <v>53</v>
      </c>
      <c r="D530" s="9" t="inlineStr">
        <is>
          <t>Trades — Import/Export File Matrix</t>
        </is>
      </c>
      <c r="E530" s="7" t="inlineStr">
        <is>
          <t>Edge</t>
        </is>
      </c>
      <c r="F530" s="7" t="inlineStr">
        <is>
          <t>P2</t>
        </is>
      </c>
      <c r="G530" s="7" t="inlineStr">
        <is>
          <t>Export → re-import same file.</t>
        </is>
      </c>
      <c r="H530" s="7" t="inlineStr">
        <is>
          <t>—</t>
        </is>
      </c>
      <c r="I530" s="7" t="inlineStr">
        <is>
          <t>Duplicates handled (skip/merge) — note behavior.</t>
        </is>
      </c>
      <c r="J530" s="7" t="inlineStr">
        <is>
          <t>— Not tested</t>
        </is>
      </c>
      <c r="K530" s="7" t="inlineStr">
        <is>
          <t>— Not tested</t>
        </is>
      </c>
      <c r="L530" s="7" t="inlineStr">
        <is>
          <t>— Not tested</t>
        </is>
      </c>
    </row>
    <row r="531">
      <c r="A531" s="9" t="n">
        <v>530</v>
      </c>
      <c r="B531" s="9" t="inlineStr">
        <is>
          <t>3 — Trades</t>
        </is>
      </c>
      <c r="C531" s="9" t="n">
        <v>53</v>
      </c>
      <c r="D531" s="9" t="inlineStr">
        <is>
          <t>Trades — Import/Export File Matrix</t>
        </is>
      </c>
      <c r="E531" s="7" t="inlineStr">
        <is>
          <t>Edge</t>
        </is>
      </c>
      <c r="F531" s="7" t="inlineStr">
        <is>
          <t>P2</t>
        </is>
      </c>
      <c r="G531" s="7" t="inlineStr">
        <is>
          <t>Import CSV wrong delimiter.</t>
        </is>
      </c>
      <c r="H531" s="7" t="inlineStr">
        <is>
          <t>semicolon file</t>
        </is>
      </c>
      <c r="I531" s="7" t="inlineStr">
        <is>
          <t>Error or partial — note.</t>
        </is>
      </c>
      <c r="J531" s="7" t="inlineStr">
        <is>
          <t>— Not tested</t>
        </is>
      </c>
      <c r="K531" s="7" t="inlineStr">
        <is>
          <t>— Not tested</t>
        </is>
      </c>
      <c r="L531" s="7" t="inlineStr">
        <is>
          <t>— Not tested</t>
        </is>
      </c>
    </row>
    <row r="532">
      <c r="A532" s="9" t="n">
        <v>531</v>
      </c>
      <c r="B532" s="9" t="inlineStr">
        <is>
          <t>3 — Trades</t>
        </is>
      </c>
      <c r="C532" s="9" t="n">
        <v>53</v>
      </c>
      <c r="D532" s="9" t="inlineStr">
        <is>
          <t>Trades — Import/Export File Matrix</t>
        </is>
      </c>
      <c r="E532" s="7" t="inlineStr">
        <is>
          <t>Edge</t>
        </is>
      </c>
      <c r="F532" s="7" t="inlineStr">
        <is>
          <t>P1</t>
        </is>
      </c>
      <c r="G532" s="7" t="inlineStr">
        <is>
          <t>Import CSV missing required columns.</t>
        </is>
      </c>
      <c r="H532" s="7" t="inlineStr">
        <is>
          <t>bad headers</t>
        </is>
      </c>
      <c r="I532" s="7" t="inlineStr">
        <is>
          <t>Clear error message.</t>
        </is>
      </c>
      <c r="J532" s="7" t="inlineStr">
        <is>
          <t>— Not tested</t>
        </is>
      </c>
      <c r="K532" s="7" t="inlineStr">
        <is>
          <t>— Not tested</t>
        </is>
      </c>
      <c r="L532" s="7" t="inlineStr">
        <is>
          <t>— Not tested</t>
        </is>
      </c>
    </row>
    <row r="533">
      <c r="A533" s="9" t="n">
        <v>532</v>
      </c>
      <c r="B533" s="9" t="inlineStr">
        <is>
          <t>3 — Trades</t>
        </is>
      </c>
      <c r="C533" s="9" t="n">
        <v>53</v>
      </c>
      <c r="D533" s="9" t="inlineStr">
        <is>
          <t>Trades — Import/Export File Matrix</t>
        </is>
      </c>
      <c r="E533" s="7" t="inlineStr">
        <is>
          <t>Edge</t>
        </is>
      </c>
      <c r="F533" s="7" t="inlineStr">
        <is>
          <t>P2</t>
        </is>
      </c>
      <c r="G533" s="7" t="inlineStr">
        <is>
          <t>Import empty CSV.</t>
        </is>
      </c>
      <c r="H533" s="7" t="inlineStr">
        <is>
          <t>0 rows</t>
        </is>
      </c>
      <c r="I533" s="7" t="inlineStr">
        <is>
          <t>No trades added; message shown.</t>
        </is>
      </c>
      <c r="J533" s="7" t="inlineStr">
        <is>
          <t>— Not tested</t>
        </is>
      </c>
      <c r="K533" s="7" t="inlineStr">
        <is>
          <t>— Not tested</t>
        </is>
      </c>
      <c r="L533" s="7" t="inlineStr">
        <is>
          <t>— Not tested</t>
        </is>
      </c>
    </row>
    <row r="534">
      <c r="A534" s="9" t="n">
        <v>533</v>
      </c>
      <c r="B534" s="9" t="inlineStr">
        <is>
          <t>3 — Trades</t>
        </is>
      </c>
      <c r="C534" s="9" t="n">
        <v>53</v>
      </c>
      <c r="D534" s="9" t="inlineStr">
        <is>
          <t>Trades — Import/Export File Matrix</t>
        </is>
      </c>
      <c r="E534" s="7" t="inlineStr">
        <is>
          <t>Edge</t>
        </is>
      </c>
      <c r="F534" s="7" t="inlineStr">
        <is>
          <t>P2</t>
        </is>
      </c>
      <c r="G534" s="7" t="inlineStr">
        <is>
          <t>Import 1000-row CSV.</t>
        </is>
      </c>
      <c r="H534" s="7" t="inlineStr">
        <is>
          <t>stress</t>
        </is>
      </c>
      <c r="I534" s="7" t="inlineStr">
        <is>
          <t>Completes without browser freeze.</t>
        </is>
      </c>
      <c r="J534" s="7" t="inlineStr">
        <is>
          <t>— Not tested</t>
        </is>
      </c>
      <c r="K534" s="7" t="inlineStr">
        <is>
          <t>— Not tested</t>
        </is>
      </c>
      <c r="L534" s="7" t="inlineStr">
        <is>
          <t>— Not tested</t>
        </is>
      </c>
    </row>
    <row r="535">
      <c r="A535" s="10" t="n">
        <v>534</v>
      </c>
      <c r="B535" s="10" t="inlineStr">
        <is>
          <t>4 — Sources</t>
        </is>
      </c>
      <c r="C535" s="10" t="n">
        <v>54</v>
      </c>
      <c r="D535" s="10" t="inlineStr">
        <is>
          <t>Sources — Compare Multi-Select</t>
        </is>
      </c>
      <c r="E535" s="7" t="inlineStr">
        <is>
          <t>Configuration</t>
        </is>
      </c>
      <c r="F535" s="7" t="inlineStr">
        <is>
          <t>P2</t>
        </is>
      </c>
      <c r="G535" s="7" t="inlineStr">
        <is>
          <t>Compare mode: select **2** backtest sessions.</t>
        </is>
      </c>
      <c r="H535" s="7" t="inlineStr">
        <is>
          <t>2 sessions</t>
        </is>
      </c>
      <c r="I535" s="7" t="inlineStr">
        <is>
          <t>Compare chip lists 2 sources; metrics update.</t>
        </is>
      </c>
      <c r="J535" s="7" t="inlineStr">
        <is>
          <t>— Not tested</t>
        </is>
      </c>
      <c r="K535" s="7" t="inlineStr">
        <is>
          <t>— Not tested</t>
        </is>
      </c>
      <c r="L535" s="7" t="inlineStr">
        <is>
          <t>— Not tested</t>
        </is>
      </c>
    </row>
    <row r="536">
      <c r="A536" s="10" t="n">
        <v>535</v>
      </c>
      <c r="B536" s="10" t="inlineStr">
        <is>
          <t>4 — Sources</t>
        </is>
      </c>
      <c r="C536" s="10" t="n">
        <v>54</v>
      </c>
      <c r="D536" s="10" t="inlineStr">
        <is>
          <t>Sources — Compare Multi-Select</t>
        </is>
      </c>
      <c r="E536" s="7" t="inlineStr">
        <is>
          <t>Configuration</t>
        </is>
      </c>
      <c r="F536" s="7" t="inlineStr">
        <is>
          <t>P2</t>
        </is>
      </c>
      <c r="G536" s="7" t="inlineStr">
        <is>
          <t>Compare mode: select **3** backtest sessions.</t>
        </is>
      </c>
      <c r="H536" s="7" t="inlineStr">
        <is>
          <t>3 sessions</t>
        </is>
      </c>
      <c r="I536" s="7" t="inlineStr">
        <is>
          <t>Compare chip lists 3 sources; metrics update.</t>
        </is>
      </c>
      <c r="J536" s="7" t="inlineStr">
        <is>
          <t>— Not tested</t>
        </is>
      </c>
      <c r="K536" s="7" t="inlineStr">
        <is>
          <t>— Not tested</t>
        </is>
      </c>
      <c r="L536" s="7" t="inlineStr">
        <is>
          <t>— Not tested</t>
        </is>
      </c>
    </row>
    <row r="537">
      <c r="A537" s="10" t="n">
        <v>536</v>
      </c>
      <c r="B537" s="10" t="inlineStr">
        <is>
          <t>4 — Sources</t>
        </is>
      </c>
      <c r="C537" s="10" t="n">
        <v>54</v>
      </c>
      <c r="D537" s="10" t="inlineStr">
        <is>
          <t>Sources — Compare Multi-Select</t>
        </is>
      </c>
      <c r="E537" s="7" t="inlineStr">
        <is>
          <t>Configuration</t>
        </is>
      </c>
      <c r="F537" s="7" t="inlineStr">
        <is>
          <t>P2</t>
        </is>
      </c>
      <c r="G537" s="7" t="inlineStr">
        <is>
          <t>Compare mode: select **4** backtest sessions.</t>
        </is>
      </c>
      <c r="H537" s="7" t="inlineStr">
        <is>
          <t>4 sessions</t>
        </is>
      </c>
      <c r="I537" s="7" t="inlineStr">
        <is>
          <t>Compare chip lists 4 sources; metrics update.</t>
        </is>
      </c>
      <c r="J537" s="7" t="inlineStr">
        <is>
          <t>— Not tested</t>
        </is>
      </c>
      <c r="K537" s="7" t="inlineStr">
        <is>
          <t>— Not tested</t>
        </is>
      </c>
      <c r="L537" s="7" t="inlineStr">
        <is>
          <t>— Not tested</t>
        </is>
      </c>
    </row>
    <row r="538">
      <c r="A538" s="10" t="n">
        <v>537</v>
      </c>
      <c r="B538" s="10" t="inlineStr">
        <is>
          <t>4 — Sources</t>
        </is>
      </c>
      <c r="C538" s="10" t="n">
        <v>55</v>
      </c>
      <c r="D538" s="10" t="inlineStr">
        <is>
          <t>Sources — Cancel vs Go State Machine</t>
        </is>
      </c>
      <c r="E538" s="7" t="inlineStr">
        <is>
          <t>Logic</t>
        </is>
      </c>
      <c r="F538" s="7" t="inlineStr">
        <is>
          <t>P0</t>
        </is>
      </c>
      <c r="G538" s="7" t="inlineStr">
        <is>
          <t>Open library → select A → Cancel.</t>
        </is>
      </c>
      <c r="H538" s="7" t="inlineStr">
        <is>
          <t>—</t>
        </is>
      </c>
      <c r="I538" s="7" t="inlineStr">
        <is>
          <t>Still on previous source.</t>
        </is>
      </c>
      <c r="J538" s="7" t="inlineStr">
        <is>
          <t>— Not tested</t>
        </is>
      </c>
      <c r="K538" s="7" t="inlineStr">
        <is>
          <t>— Not tested</t>
        </is>
      </c>
      <c r="L538" s="7" t="inlineStr">
        <is>
          <t>— Not tested</t>
        </is>
      </c>
    </row>
    <row r="539">
      <c r="A539" s="10" t="n">
        <v>538</v>
      </c>
      <c r="B539" s="10" t="inlineStr">
        <is>
          <t>4 — Sources</t>
        </is>
      </c>
      <c r="C539" s="10" t="n">
        <v>55</v>
      </c>
      <c r="D539" s="10" t="inlineStr">
        <is>
          <t>Sources — Cancel vs Go State Machine</t>
        </is>
      </c>
      <c r="E539" s="7" t="inlineStr">
        <is>
          <t>Logic</t>
        </is>
      </c>
      <c r="F539" s="7" t="inlineStr">
        <is>
          <t>P0</t>
        </is>
      </c>
      <c r="G539" s="7" t="inlineStr">
        <is>
          <t>Open → select A → Go → reopen → select B → Cancel.</t>
        </is>
      </c>
      <c r="H539" s="7" t="inlineStr">
        <is>
          <t>—</t>
        </is>
      </c>
      <c r="I539" s="7" t="inlineStr">
        <is>
          <t>Still on A.</t>
        </is>
      </c>
      <c r="J539" s="7" t="inlineStr">
        <is>
          <t>— Not tested</t>
        </is>
      </c>
      <c r="K539" s="7" t="inlineStr">
        <is>
          <t>— Not tested</t>
        </is>
      </c>
      <c r="L539" s="7" t="inlineStr">
        <is>
          <t>— Not tested</t>
        </is>
      </c>
    </row>
    <row r="540">
      <c r="A540" s="10" t="n">
        <v>539</v>
      </c>
      <c r="B540" s="10" t="inlineStr">
        <is>
          <t>4 — Sources</t>
        </is>
      </c>
      <c r="C540" s="10" t="n">
        <v>55</v>
      </c>
      <c r="D540" s="10" t="inlineStr">
        <is>
          <t>Sources — Cancel vs Go State Machine</t>
        </is>
      </c>
      <c r="E540" s="7" t="inlineStr">
        <is>
          <t>Logic</t>
        </is>
      </c>
      <c r="F540" s="7" t="inlineStr">
        <is>
          <t>P0</t>
        </is>
      </c>
      <c r="G540" s="7" t="inlineStr">
        <is>
          <t>Open → select A → Go → reopen → select B → Go.</t>
        </is>
      </c>
      <c r="H540" s="7" t="inlineStr">
        <is>
          <t>—</t>
        </is>
      </c>
      <c r="I540" s="7" t="inlineStr">
        <is>
          <t>Now on B.</t>
        </is>
      </c>
      <c r="J540" s="7" t="inlineStr">
        <is>
          <t>— Not tested</t>
        </is>
      </c>
      <c r="K540" s="7" t="inlineStr">
        <is>
          <t>— Not tested</t>
        </is>
      </c>
      <c r="L540" s="7" t="inlineStr">
        <is>
          <t>— Not tested</t>
        </is>
      </c>
    </row>
    <row r="541">
      <c r="A541" s="10" t="n">
        <v>540</v>
      </c>
      <c r="B541" s="10" t="inlineStr">
        <is>
          <t>4 — Sources</t>
        </is>
      </c>
      <c r="C541" s="10" t="n">
        <v>55</v>
      </c>
      <c r="D541" s="10" t="inlineStr">
        <is>
          <t>Sources — Cancel vs Go State Machine</t>
        </is>
      </c>
      <c r="E541" s="7" t="inlineStr">
        <is>
          <t>Logic</t>
        </is>
      </c>
      <c r="F541" s="7" t="inlineStr">
        <is>
          <t>P1</t>
        </is>
      </c>
      <c r="G541" s="7" t="inlineStr">
        <is>
          <t>Partial strategy children → Cancel.</t>
        </is>
      </c>
      <c r="H541" s="7" t="inlineStr">
        <is>
          <t>—</t>
        </is>
      </c>
      <c r="I541" s="7" t="inlineStr">
        <is>
          <t>Previous child selection restored.</t>
        </is>
      </c>
      <c r="J541" s="7" t="inlineStr">
        <is>
          <t>— Not tested</t>
        </is>
      </c>
      <c r="K541" s="7" t="inlineStr">
        <is>
          <t>— Not tested</t>
        </is>
      </c>
      <c r="L541" s="7" t="inlineStr">
        <is>
          <t>— Not tested</t>
        </is>
      </c>
    </row>
    <row r="542">
      <c r="A542" s="10" t="n">
        <v>541</v>
      </c>
      <c r="B542" s="10" t="inlineStr">
        <is>
          <t>4 — Sources</t>
        </is>
      </c>
      <c r="C542" s="10" t="n">
        <v>55</v>
      </c>
      <c r="D542" s="10" t="inlineStr">
        <is>
          <t>Sources — Cancel vs Go State Machine</t>
        </is>
      </c>
      <c r="E542" s="7" t="inlineStr">
        <is>
          <t>Logic</t>
        </is>
      </c>
      <c r="F542" s="7" t="inlineStr">
        <is>
          <t>P1</t>
        </is>
      </c>
      <c r="G542" s="7" t="inlineStr">
        <is>
          <t>Partial strategy children → Go.</t>
        </is>
      </c>
      <c r="H542" s="7" t="inlineStr">
        <is>
          <t>—</t>
        </is>
      </c>
      <c r="I542" s="7" t="inlineStr">
        <is>
          <t>Dashboard scoped to partial set.</t>
        </is>
      </c>
      <c r="J542" s="7" t="inlineStr">
        <is>
          <t>— Not tested</t>
        </is>
      </c>
      <c r="K542" s="7" t="inlineStr">
        <is>
          <t>— Not tested</t>
        </is>
      </c>
      <c r="L542" s="7" t="inlineStr">
        <is>
          <t>— Not tested</t>
        </is>
      </c>
    </row>
  </sheetData>
  <autoFilter ref="A1:M542"/>
  <dataValidations count="2">
    <dataValidation sqref="J2:K542" showDropDown="0" showInputMessage="0" showErrorMessage="0" allowBlank="1" type="list">
      <formula1>"☑ Pass,☐ Fail,⚠ Partial,— Not tested"</formula1>
    </dataValidation>
    <dataValidation sqref="L2:L542" showDropDown="0" showInputMessage="0" showErrorMessage="0" allowBlank="1" type="list">
      <formula1>"☑ Yes,☐ No,— Not tested"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Phase</t>
        </is>
      </c>
      <c r="B1" s="11" t="inlineStr">
        <is>
          <t>Phase Name</t>
        </is>
      </c>
      <c r="C1" s="11" t="inlineStr">
        <is>
          <t>Section</t>
        </is>
      </c>
      <c r="D1" s="11" t="inlineStr">
        <is>
          <t>Steps</t>
        </is>
      </c>
      <c r="E1" s="11" t="inlineStr">
        <is>
          <t>P0</t>
        </is>
      </c>
      <c r="F1" s="11" t="inlineStr">
        <is>
          <t>A Pass</t>
        </is>
      </c>
      <c r="G1" s="11" t="inlineStr">
        <is>
          <t>B Pass</t>
        </is>
      </c>
      <c r="H1" s="11" t="inlineStr">
        <is>
          <t>Issues</t>
        </is>
      </c>
    </row>
    <row r="2">
      <c r="A2" t="n">
        <v>1</v>
      </c>
      <c r="B2" t="inlineStr">
        <is>
          <t>Strategy Bank — Access &amp; Shell</t>
        </is>
      </c>
      <c r="C2" t="inlineStr">
        <is>
          <t>1 — Strategies</t>
        </is>
      </c>
      <c r="D2">
        <f>COUNTIFS('QA Tracker'!C:C,1)</f>
        <v/>
      </c>
      <c r="E2">
        <f>COUNTIFS('QA Tracker'!C:C,1,'QA Tracker'!F:F,"P0")</f>
        <v/>
      </c>
      <c r="F2">
        <f>COUNTIFS('QA Tracker'!C:C,1,'QA Tracker'!J:J,"☑ Pass")</f>
        <v/>
      </c>
      <c r="G2">
        <f>COUNTIFS('QA Tracker'!C:C,1,'QA Tracker'!I:I,"☑ Pass")</f>
        <v/>
      </c>
      <c r="H2">
        <f>COUNTIFS('QA Tracker'!C:C,1,'QA Tracker'!L:L,"☑ Yes")</f>
        <v/>
      </c>
    </row>
    <row r="3">
      <c r="A3" t="n">
        <v>2</v>
      </c>
      <c r="B3" t="inlineStr">
        <is>
          <t>Strategy Bank — Controls &amp; Empty States</t>
        </is>
      </c>
      <c r="C3" t="inlineStr">
        <is>
          <t>1 — Strategies</t>
        </is>
      </c>
      <c r="D3">
        <f>COUNTIFS('QA Tracker'!C:C,2)</f>
        <v/>
      </c>
      <c r="E3">
        <f>COUNTIFS('QA Tracker'!C:C,2,'QA Tracker'!F:F,"P0")</f>
        <v/>
      </c>
      <c r="F3">
        <f>COUNTIFS('QA Tracker'!C:C,2,'QA Tracker'!J:J,"☑ Pass")</f>
        <v/>
      </c>
      <c r="G3">
        <f>COUNTIFS('QA Tracker'!C:C,2,'QA Tracker'!I:I,"☑ Pass")</f>
        <v/>
      </c>
      <c r="H3">
        <f>COUNTIFS('QA Tracker'!C:C,2,'QA Tracker'!L:L,"☑ Yes")</f>
        <v/>
      </c>
    </row>
    <row r="4">
      <c r="A4" t="n">
        <v>3</v>
      </c>
      <c r="B4" t="inlineStr">
        <is>
          <t>Strategy Bank — Card/Row Content &amp; Visuals</t>
        </is>
      </c>
      <c r="C4" t="inlineStr">
        <is>
          <t>1 — Strategies</t>
        </is>
      </c>
      <c r="D4">
        <f>COUNTIFS('QA Tracker'!C:C,3)</f>
        <v/>
      </c>
      <c r="E4">
        <f>COUNTIFS('QA Tracker'!C:C,3,'QA Tracker'!F:F,"P0")</f>
        <v/>
      </c>
      <c r="F4">
        <f>COUNTIFS('QA Tracker'!C:C,3,'QA Tracker'!J:J,"☑ Pass")</f>
        <v/>
      </c>
      <c r="G4">
        <f>COUNTIFS('QA Tracker'!C:C,3,'QA Tracker'!I:I,"☑ Pass")</f>
        <v/>
      </c>
      <c r="H4">
        <f>COUNTIFS('QA Tracker'!C:C,3,'QA Tracker'!L:L,"☑ Yes")</f>
        <v/>
      </c>
    </row>
    <row r="5">
      <c r="A5" t="n">
        <v>4</v>
      </c>
      <c r="B5" t="inlineStr">
        <is>
          <t>Template Picker</t>
        </is>
      </c>
      <c r="C5" t="inlineStr">
        <is>
          <t>1 — Strategies</t>
        </is>
      </c>
      <c r="D5">
        <f>COUNTIFS('QA Tracker'!C:C,4)</f>
        <v/>
      </c>
      <c r="E5">
        <f>COUNTIFS('QA Tracker'!C:C,4,'QA Tracker'!F:F,"P0")</f>
        <v/>
      </c>
      <c r="F5">
        <f>COUNTIFS('QA Tracker'!C:C,4,'QA Tracker'!J:J,"☑ Pass")</f>
        <v/>
      </c>
      <c r="G5">
        <f>COUNTIFS('QA Tracker'!C:C,4,'QA Tracker'!I:I,"☑ Pass")</f>
        <v/>
      </c>
      <c r="H5">
        <f>COUNTIFS('QA Tracker'!C:C,4,'QA Tracker'!L:L,"☑ Yes")</f>
        <v/>
      </c>
    </row>
    <row r="6">
      <c r="A6" t="n">
        <v>5</v>
      </c>
      <c r="B6" t="inlineStr">
        <is>
          <t>Strategy Builder — Wizard Shell</t>
        </is>
      </c>
      <c r="C6" t="inlineStr">
        <is>
          <t>1 — Strategies</t>
        </is>
      </c>
      <c r="D6">
        <f>COUNTIFS('QA Tracker'!C:C,5)</f>
        <v/>
      </c>
      <c r="E6">
        <f>COUNTIFS('QA Tracker'!C:C,5,'QA Tracker'!F:F,"P0")</f>
        <v/>
      </c>
      <c r="F6">
        <f>COUNTIFS('QA Tracker'!C:C,5,'QA Tracker'!J:J,"☑ Pass")</f>
        <v/>
      </c>
      <c r="G6">
        <f>COUNTIFS('QA Tracker'!C:C,5,'QA Tracker'!I:I,"☑ Pass")</f>
        <v/>
      </c>
      <c r="H6">
        <f>COUNTIFS('QA Tracker'!C:C,5,'QA Tracker'!L:L,"☑ Yes")</f>
        <v/>
      </c>
    </row>
    <row r="7">
      <c r="A7" t="n">
        <v>6</v>
      </c>
      <c r="B7" t="inlineStr">
        <is>
          <t>Builder Step 1 — Strategy Name</t>
        </is>
      </c>
      <c r="C7" t="inlineStr">
        <is>
          <t>1 — Strategies</t>
        </is>
      </c>
      <c r="D7">
        <f>COUNTIFS('QA Tracker'!C:C,6)</f>
        <v/>
      </c>
      <c r="E7">
        <f>COUNTIFS('QA Tracker'!C:C,6,'QA Tracker'!F:F,"P0")</f>
        <v/>
      </c>
      <c r="F7">
        <f>COUNTIFS('QA Tracker'!C:C,6,'QA Tracker'!J:J,"☑ Pass")</f>
        <v/>
      </c>
      <c r="G7">
        <f>COUNTIFS('QA Tracker'!C:C,6,'QA Tracker'!I:I,"☑ Pass")</f>
        <v/>
      </c>
      <c r="H7">
        <f>COUNTIFS('QA Tracker'!C:C,6,'QA Tracker'!L:L,"☑ Yes")</f>
        <v/>
      </c>
    </row>
    <row r="8">
      <c r="A8" t="n">
        <v>7</v>
      </c>
      <c r="B8" t="inlineStr">
        <is>
          <t>Builder Step 1 — Tags</t>
        </is>
      </c>
      <c r="C8" t="inlineStr">
        <is>
          <t>1 — Strategies</t>
        </is>
      </c>
      <c r="D8">
        <f>COUNTIFS('QA Tracker'!C:C,7)</f>
        <v/>
      </c>
      <c r="E8">
        <f>COUNTIFS('QA Tracker'!C:C,7,'QA Tracker'!F:F,"P0")</f>
        <v/>
      </c>
      <c r="F8">
        <f>COUNTIFS('QA Tracker'!C:C,7,'QA Tracker'!J:J,"☑ Pass")</f>
        <v/>
      </c>
      <c r="G8">
        <f>COUNTIFS('QA Tracker'!C:C,7,'QA Tracker'!I:I,"☑ Pass")</f>
        <v/>
      </c>
      <c r="H8">
        <f>COUNTIFS('QA Tracker'!C:C,7,'QA Tracker'!L:L,"☑ Yes")</f>
        <v/>
      </c>
    </row>
    <row r="9">
      <c r="A9" t="n">
        <v>8</v>
      </c>
      <c r="B9" t="inlineStr">
        <is>
          <t>Builder Step 1 — Markets &amp; Instruments</t>
        </is>
      </c>
      <c r="C9" t="inlineStr">
        <is>
          <t>1 — Strategies</t>
        </is>
      </c>
      <c r="D9">
        <f>COUNTIFS('QA Tracker'!C:C,8)</f>
        <v/>
      </c>
      <c r="E9">
        <f>COUNTIFS('QA Tracker'!C:C,8,'QA Tracker'!F:F,"P0")</f>
        <v/>
      </c>
      <c r="F9">
        <f>COUNTIFS('QA Tracker'!C:C,8,'QA Tracker'!J:J,"☑ Pass")</f>
        <v/>
      </c>
      <c r="G9">
        <f>COUNTIFS('QA Tracker'!C:C,8,'QA Tracker'!I:I,"☑ Pass")</f>
        <v/>
      </c>
      <c r="H9">
        <f>COUNTIFS('QA Tracker'!C:C,8,'QA Tracker'!L:L,"☑ Yes")</f>
        <v/>
      </c>
    </row>
    <row r="10">
      <c r="A10" t="n">
        <v>9</v>
      </c>
      <c r="B10" t="inlineStr">
        <is>
          <t>Builder Step 1 — Timeframes</t>
        </is>
      </c>
      <c r="C10" t="inlineStr">
        <is>
          <t>1 — Strategies</t>
        </is>
      </c>
      <c r="D10">
        <f>COUNTIFS('QA Tracker'!C:C,9)</f>
        <v/>
      </c>
      <c r="E10">
        <f>COUNTIFS('QA Tracker'!C:C,9,'QA Tracker'!F:F,"P0")</f>
        <v/>
      </c>
      <c r="F10">
        <f>COUNTIFS('QA Tracker'!C:C,9,'QA Tracker'!J:J,"☑ Pass")</f>
        <v/>
      </c>
      <c r="G10">
        <f>COUNTIFS('QA Tracker'!C:C,9,'QA Tracker'!I:I,"☑ Pass")</f>
        <v/>
      </c>
      <c r="H10">
        <f>COUNTIFS('QA Tracker'!C:C,9,'QA Tracker'!L:L,"☑ Yes")</f>
        <v/>
      </c>
    </row>
    <row r="11">
      <c r="A11" t="n">
        <v>10</v>
      </c>
      <c r="B11" t="inlineStr">
        <is>
          <t>Builder Step 1 — Cover Images</t>
        </is>
      </c>
      <c r="C11" t="inlineStr">
        <is>
          <t>1 — Strategies</t>
        </is>
      </c>
      <c r="D11">
        <f>COUNTIFS('QA Tracker'!C:C,10)</f>
        <v/>
      </c>
      <c r="E11">
        <f>COUNTIFS('QA Tracker'!C:C,10,'QA Tracker'!F:F,"P0")</f>
        <v/>
      </c>
      <c r="F11">
        <f>COUNTIFS('QA Tracker'!C:C,10,'QA Tracker'!J:J,"☑ Pass")</f>
        <v/>
      </c>
      <c r="G11">
        <f>COUNTIFS('QA Tracker'!C:C,10,'QA Tracker'!I:I,"☑ Pass")</f>
        <v/>
      </c>
      <c r="H11">
        <f>COUNTIFS('QA Tracker'!C:C,10,'QA Tracker'!L:L,"☑ Yes")</f>
        <v/>
      </c>
    </row>
    <row r="12">
      <c r="A12" t="n">
        <v>11</v>
      </c>
      <c r="B12" t="inlineStr">
        <is>
          <t>Builder Step 2 — Canvas Structure</t>
        </is>
      </c>
      <c r="C12" t="inlineStr">
        <is>
          <t>1 — Strategies</t>
        </is>
      </c>
      <c r="D12">
        <f>COUNTIFS('QA Tracker'!C:C,11)</f>
        <v/>
      </c>
      <c r="E12">
        <f>COUNTIFS('QA Tracker'!C:C,11,'QA Tracker'!F:F,"P0")</f>
        <v/>
      </c>
      <c r="F12">
        <f>COUNTIFS('QA Tracker'!C:C,11,'QA Tracker'!J:J,"☑ Pass")</f>
        <v/>
      </c>
      <c r="G12">
        <f>COUNTIFS('QA Tracker'!C:C,11,'QA Tracker'!I:I,"☑ Pass")</f>
        <v/>
      </c>
      <c r="H12">
        <f>COUNTIFS('QA Tracker'!C:C,11,'QA Tracker'!L:L,"☑ Yes")</f>
        <v/>
      </c>
    </row>
    <row r="13">
      <c r="A13" t="n">
        <v>12</v>
      </c>
      <c r="B13" t="inlineStr">
        <is>
          <t>Builder Step 3 — Trade Tags</t>
        </is>
      </c>
      <c r="C13" t="inlineStr">
        <is>
          <t>1 — Strategies</t>
        </is>
      </c>
      <c r="D13">
        <f>COUNTIFS('QA Tracker'!C:C,12)</f>
        <v/>
      </c>
      <c r="E13">
        <f>COUNTIFS('QA Tracker'!C:C,12,'QA Tracker'!F:F,"P0")</f>
        <v/>
      </c>
      <c r="F13">
        <f>COUNTIFS('QA Tracker'!C:C,12,'QA Tracker'!J:J,"☑ Pass")</f>
        <v/>
      </c>
      <c r="G13">
        <f>COUNTIFS('QA Tracker'!C:C,12,'QA Tracker'!I:I,"☑ Pass")</f>
        <v/>
      </c>
      <c r="H13">
        <f>COUNTIFS('QA Tracker'!C:C,12,'QA Tracker'!L:L,"☑ Yes")</f>
        <v/>
      </c>
    </row>
    <row r="14">
      <c r="A14" t="n">
        <v>13</v>
      </c>
      <c r="B14" t="inlineStr">
        <is>
          <t>Builder Step 4 — Review &amp; Persistence</t>
        </is>
      </c>
      <c r="C14" t="inlineStr">
        <is>
          <t>1 — Strategies</t>
        </is>
      </c>
      <c r="D14">
        <f>COUNTIFS('QA Tracker'!C:C,13)</f>
        <v/>
      </c>
      <c r="E14">
        <f>COUNTIFS('QA Tracker'!C:C,13,'QA Tracker'!F:F,"P0")</f>
        <v/>
      </c>
      <c r="F14">
        <f>COUNTIFS('QA Tracker'!C:C,13,'QA Tracker'!J:J,"☑ Pass")</f>
        <v/>
      </c>
      <c r="G14">
        <f>COUNTIFS('QA Tracker'!C:C,13,'QA Tracker'!I:I,"☑ Pass")</f>
        <v/>
      </c>
      <c r="H14">
        <f>COUNTIFS('QA Tracker'!C:C,13,'QA Tracker'!L:L,"☑ Yes")</f>
        <v/>
      </c>
    </row>
    <row r="15">
      <c r="A15" t="n">
        <v>14</v>
      </c>
      <c r="B15" t="inlineStr">
        <is>
          <t>Sessions Page — Shell &amp; Stats</t>
        </is>
      </c>
      <c r="C15" t="inlineStr">
        <is>
          <t>2 — Sessions</t>
        </is>
      </c>
      <c r="D15">
        <f>COUNTIFS('QA Tracker'!C:C,14)</f>
        <v/>
      </c>
      <c r="E15">
        <f>COUNTIFS('QA Tracker'!C:C,14,'QA Tracker'!F:F,"P0")</f>
        <v/>
      </c>
      <c r="F15">
        <f>COUNTIFS('QA Tracker'!C:C,14,'QA Tracker'!J:J,"☑ Pass")</f>
        <v/>
      </c>
      <c r="G15">
        <f>COUNTIFS('QA Tracker'!C:C,14,'QA Tracker'!I:I,"☑ Pass")</f>
        <v/>
      </c>
      <c r="H15">
        <f>COUNTIFS('QA Tracker'!C:C,14,'QA Tracker'!L:L,"☑ Yes")</f>
        <v/>
      </c>
    </row>
    <row r="16">
      <c r="A16" t="n">
        <v>15</v>
      </c>
      <c r="B16" t="inlineStr">
        <is>
          <t>Sessions — Filters &amp; Sort</t>
        </is>
      </c>
      <c r="C16" t="inlineStr">
        <is>
          <t>2 — Sessions</t>
        </is>
      </c>
      <c r="D16">
        <f>COUNTIFS('QA Tracker'!C:C,15)</f>
        <v/>
      </c>
      <c r="E16">
        <f>COUNTIFS('QA Tracker'!C:C,15,'QA Tracker'!F:F,"P0")</f>
        <v/>
      </c>
      <c r="F16">
        <f>COUNTIFS('QA Tracker'!C:C,15,'QA Tracker'!J:J,"☑ Pass")</f>
        <v/>
      </c>
      <c r="G16">
        <f>COUNTIFS('QA Tracker'!C:C,15,'QA Tracker'!I:I,"☑ Pass")</f>
        <v/>
      </c>
      <c r="H16">
        <f>COUNTIFS('QA Tracker'!C:C,15,'QA Tracker'!L:L,"☑ Yes")</f>
        <v/>
      </c>
    </row>
    <row r="17">
      <c r="A17" t="n">
        <v>16</v>
      </c>
      <c r="B17" t="inlineStr">
        <is>
          <t>Sessions — Row Actions by State</t>
        </is>
      </c>
      <c r="C17" t="inlineStr">
        <is>
          <t>2 — Sessions</t>
        </is>
      </c>
      <c r="D17">
        <f>COUNTIFS('QA Tracker'!C:C,16)</f>
        <v/>
      </c>
      <c r="E17">
        <f>COUNTIFS('QA Tracker'!C:C,16,'QA Tracker'!F:F,"P0")</f>
        <v/>
      </c>
      <c r="F17">
        <f>COUNTIFS('QA Tracker'!C:C,16,'QA Tracker'!J:J,"☑ Pass")</f>
        <v/>
      </c>
      <c r="G17">
        <f>COUNTIFS('QA Tracker'!C:C,16,'QA Tracker'!I:I,"☑ Pass")</f>
        <v/>
      </c>
      <c r="H17">
        <f>COUNTIFS('QA Tracker'!C:C,16,'QA Tracker'!L:L,"☑ Yes")</f>
        <v/>
      </c>
    </row>
    <row r="18">
      <c r="A18" t="n">
        <v>17</v>
      </c>
      <c r="B18" t="inlineStr">
        <is>
          <t>New Session — Kind Picker</t>
        </is>
      </c>
      <c r="C18" t="inlineStr">
        <is>
          <t>2 — Sessions</t>
        </is>
      </c>
      <c r="D18">
        <f>COUNTIFS('QA Tracker'!C:C,17)</f>
        <v/>
      </c>
      <c r="E18">
        <f>COUNTIFS('QA Tracker'!C:C,17,'QA Tracker'!F:F,"P0")</f>
        <v/>
      </c>
      <c r="F18">
        <f>COUNTIFS('QA Tracker'!C:C,17,'QA Tracker'!J:J,"☑ Pass")</f>
        <v/>
      </c>
      <c r="G18">
        <f>COUNTIFS('QA Tracker'!C:C,17,'QA Tracker'!I:I,"☑ Pass")</f>
        <v/>
      </c>
      <c r="H18">
        <f>COUNTIFS('QA Tracker'!C:C,17,'QA Tracker'!L:L,"☑ Yes")</f>
        <v/>
      </c>
    </row>
    <row r="19">
      <c r="A19" t="n">
        <v>18</v>
      </c>
      <c r="B19" t="inlineStr">
        <is>
          <t>Add Session — Session Info Fields</t>
        </is>
      </c>
      <c r="C19" t="inlineStr">
        <is>
          <t>2 — Sessions</t>
        </is>
      </c>
      <c r="D19">
        <f>COUNTIFS('QA Tracker'!C:C,18)</f>
        <v/>
      </c>
      <c r="E19">
        <f>COUNTIFS('QA Tracker'!C:C,18,'QA Tracker'!F:F,"P0")</f>
        <v/>
      </c>
      <c r="F19">
        <f>COUNTIFS('QA Tracker'!C:C,18,'QA Tracker'!J:J,"☑ Pass")</f>
        <v/>
      </c>
      <c r="G19">
        <f>COUNTIFS('QA Tracker'!C:C,18,'QA Tracker'!I:I,"☑ Pass")</f>
        <v/>
      </c>
      <c r="H19">
        <f>COUNTIFS('QA Tracker'!C:C,18,'QA Tracker'!L:L,"☑ Yes")</f>
        <v/>
      </c>
    </row>
    <row r="20">
      <c r="A20" t="n">
        <v>19</v>
      </c>
      <c r="B20" t="inlineStr">
        <is>
          <t>Add Session — Asset Class &amp; Symbols</t>
        </is>
      </c>
      <c r="C20" t="inlineStr">
        <is>
          <t>2 — Sessions</t>
        </is>
      </c>
      <c r="D20">
        <f>COUNTIFS('QA Tracker'!C:C,19)</f>
        <v/>
      </c>
      <c r="E20">
        <f>COUNTIFS('QA Tracker'!C:C,19,'QA Tracker'!F:F,"P0")</f>
        <v/>
      </c>
      <c r="F20">
        <f>COUNTIFS('QA Tracker'!C:C,19,'QA Tracker'!J:J,"☑ Pass")</f>
        <v/>
      </c>
      <c r="G20">
        <f>COUNTIFS('QA Tracker'!C:C,19,'QA Tracker'!I:I,"☑ Pass")</f>
        <v/>
      </c>
      <c r="H20">
        <f>COUNTIFS('QA Tracker'!C:C,19,'QA Tracker'!L:L,"☑ Yes")</f>
        <v/>
      </c>
    </row>
    <row r="21">
      <c r="A21" t="n">
        <v>20</v>
      </c>
      <c r="B21" t="inlineStr">
        <is>
          <t>Add Session — Timeframe &amp; Replay</t>
        </is>
      </c>
      <c r="C21" t="inlineStr">
        <is>
          <t>2 — Sessions</t>
        </is>
      </c>
      <c r="D21">
        <f>COUNTIFS('QA Tracker'!C:C,20)</f>
        <v/>
      </c>
      <c r="E21">
        <f>COUNTIFS('QA Tracker'!C:C,20,'QA Tracker'!F:F,"P0")</f>
        <v/>
      </c>
      <c r="F21">
        <f>COUNTIFS('QA Tracker'!C:C,20,'QA Tracker'!J:J,"☑ Pass")</f>
        <v/>
      </c>
      <c r="G21">
        <f>COUNTIFS('QA Tracker'!C:C,20,'QA Tracker'!I:I,"☑ Pass")</f>
        <v/>
      </c>
      <c r="H21">
        <f>COUNTIFS('QA Tracker'!C:C,20,'QA Tracker'!L:L,"☑ Yes")</f>
        <v/>
      </c>
    </row>
    <row r="22">
      <c r="A22" t="n">
        <v>21</v>
      </c>
      <c r="B22" t="inlineStr">
        <is>
          <t>Add Session — Date Range</t>
        </is>
      </c>
      <c r="C22" t="inlineStr">
        <is>
          <t>2 — Sessions</t>
        </is>
      </c>
      <c r="D22">
        <f>COUNTIFS('QA Tracker'!C:C,21)</f>
        <v/>
      </c>
      <c r="E22">
        <f>COUNTIFS('QA Tracker'!C:C,21,'QA Tracker'!F:F,"P0")</f>
        <v/>
      </c>
      <c r="F22">
        <f>COUNTIFS('QA Tracker'!C:C,21,'QA Tracker'!J:J,"☑ Pass")</f>
        <v/>
      </c>
      <c r="G22">
        <f>COUNTIFS('QA Tracker'!C:C,21,'QA Tracker'!I:I,"☑ Pass")</f>
        <v/>
      </c>
      <c r="H22">
        <f>COUNTIFS('QA Tracker'!C:C,21,'QA Tracker'!L:L,"☑ Yes")</f>
        <v/>
      </c>
    </row>
    <row r="23">
      <c r="A23" t="n">
        <v>22</v>
      </c>
      <c r="B23" t="inlineStr">
        <is>
          <t>Add Session — Account &amp; Costs</t>
        </is>
      </c>
      <c r="C23" t="inlineStr">
        <is>
          <t>2 — Sessions</t>
        </is>
      </c>
      <c r="D23">
        <f>COUNTIFS('QA Tracker'!C:C,22)</f>
        <v/>
      </c>
      <c r="E23">
        <f>COUNTIFS('QA Tracker'!C:C,22,'QA Tracker'!F:F,"P0")</f>
        <v/>
      </c>
      <c r="F23">
        <f>COUNTIFS('QA Tracker'!C:C,22,'QA Tracker'!J:J,"☑ Pass")</f>
        <v/>
      </c>
      <c r="G23">
        <f>COUNTIFS('QA Tracker'!C:C,22,'QA Tracker'!I:I,"☑ Pass")</f>
        <v/>
      </c>
      <c r="H23">
        <f>COUNTIFS('QA Tracker'!C:C,22,'QA Tracker'!L:L,"☑ Yes")</f>
        <v/>
      </c>
    </row>
    <row r="24">
      <c r="A24" t="n">
        <v>23</v>
      </c>
      <c r="B24" t="inlineStr">
        <is>
          <t>Add Session — Prop Firm Mode</t>
        </is>
      </c>
      <c r="C24" t="inlineStr">
        <is>
          <t>2 — Sessions</t>
        </is>
      </c>
      <c r="D24">
        <f>COUNTIFS('QA Tracker'!C:C,23)</f>
        <v/>
      </c>
      <c r="E24">
        <f>COUNTIFS('QA Tracker'!C:C,23,'QA Tracker'!F:F,"P0")</f>
        <v/>
      </c>
      <c r="F24">
        <f>COUNTIFS('QA Tracker'!C:C,23,'QA Tracker'!J:J,"☑ Pass")</f>
        <v/>
      </c>
      <c r="G24">
        <f>COUNTIFS('QA Tracker'!C:C,23,'QA Tracker'!I:I,"☑ Pass")</f>
        <v/>
      </c>
      <c r="H24">
        <f>COUNTIFS('QA Tracker'!C:C,23,'QA Tracker'!L:L,"☑ Yes")</f>
        <v/>
      </c>
    </row>
    <row r="25">
      <c r="A25" t="n">
        <v>24</v>
      </c>
      <c r="B25" t="inlineStr">
        <is>
          <t>Add Session — Save, Start, Limits</t>
        </is>
      </c>
      <c r="C25" t="inlineStr">
        <is>
          <t>2 — Sessions</t>
        </is>
      </c>
      <c r="D25">
        <f>COUNTIFS('QA Tracker'!C:C,24)</f>
        <v/>
      </c>
      <c r="E25">
        <f>COUNTIFS('QA Tracker'!C:C,24,'QA Tracker'!F:F,"P0")</f>
        <v/>
      </c>
      <c r="F25">
        <f>COUNTIFS('QA Tracker'!C:C,24,'QA Tracker'!J:J,"☑ Pass")</f>
        <v/>
      </c>
      <c r="G25">
        <f>COUNTIFS('QA Tracker'!C:C,24,'QA Tracker'!I:I,"☑ Pass")</f>
        <v/>
      </c>
      <c r="H25">
        <f>COUNTIFS('QA Tracker'!C:C,24,'QA Tracker'!L:L,"☑ Yes")</f>
        <v/>
      </c>
    </row>
    <row r="26">
      <c r="A26" t="n">
        <v>25</v>
      </c>
      <c r="B26" t="inlineStr">
        <is>
          <t>Trades Page — Shell &amp; Header</t>
        </is>
      </c>
      <c r="C26" t="inlineStr">
        <is>
          <t>3 — Trades</t>
        </is>
      </c>
      <c r="D26">
        <f>COUNTIFS('QA Tracker'!C:C,25)</f>
        <v/>
      </c>
      <c r="E26">
        <f>COUNTIFS('QA Tracker'!C:C,25,'QA Tracker'!F:F,"P0")</f>
        <v/>
      </c>
      <c r="F26">
        <f>COUNTIFS('QA Tracker'!C:C,25,'QA Tracker'!J:J,"☑ Pass")</f>
        <v/>
      </c>
      <c r="G26">
        <f>COUNTIFS('QA Tracker'!C:C,25,'QA Tracker'!I:I,"☑ Pass")</f>
        <v/>
      </c>
      <c r="H26">
        <f>COUNTIFS('QA Tracker'!C:C,25,'QA Tracker'!L:L,"☑ Yes")</f>
        <v/>
      </c>
    </row>
    <row r="27">
      <c r="A27" t="n">
        <v>26</v>
      </c>
      <c r="B27" t="inlineStr">
        <is>
          <t>Trades — Filters, Import, Export, Compare</t>
        </is>
      </c>
      <c r="C27" t="inlineStr">
        <is>
          <t>3 — Trades</t>
        </is>
      </c>
      <c r="D27">
        <f>COUNTIFS('QA Tracker'!C:C,26)</f>
        <v/>
      </c>
      <c r="E27">
        <f>COUNTIFS('QA Tracker'!C:C,26,'QA Tracker'!F:F,"P0")</f>
        <v/>
      </c>
      <c r="F27">
        <f>COUNTIFS('QA Tracker'!C:C,26,'QA Tracker'!J:J,"☑ Pass")</f>
        <v/>
      </c>
      <c r="G27">
        <f>COUNTIFS('QA Tracker'!C:C,26,'QA Tracker'!I:I,"☑ Pass")</f>
        <v/>
      </c>
      <c r="H27">
        <f>COUNTIFS('QA Tracker'!C:C,26,'QA Tracker'!L:L,"☑ Yes")</f>
        <v/>
      </c>
    </row>
    <row r="28">
      <c r="A28" t="n">
        <v>27</v>
      </c>
      <c r="B28" t="inlineStr">
        <is>
          <t>Trades Table — Columns, Sort, Expand</t>
        </is>
      </c>
      <c r="C28" t="inlineStr">
        <is>
          <t>3 — Trades</t>
        </is>
      </c>
      <c r="D28">
        <f>COUNTIFS('QA Tracker'!C:C,27)</f>
        <v/>
      </c>
      <c r="E28">
        <f>COUNTIFS('QA Tracker'!C:C,27,'QA Tracker'!F:F,"P0")</f>
        <v/>
      </c>
      <c r="F28">
        <f>COUNTIFS('QA Tracker'!C:C,27,'QA Tracker'!J:J,"☑ Pass")</f>
        <v/>
      </c>
      <c r="G28">
        <f>COUNTIFS('QA Tracker'!C:C,27,'QA Tracker'!I:I,"☑ Pass")</f>
        <v/>
      </c>
      <c r="H28">
        <f>COUNTIFS('QA Tracker'!C:C,27,'QA Tracker'!L:L,"☑ Yes")</f>
        <v/>
      </c>
    </row>
    <row r="29">
      <c r="A29" t="n">
        <v>28</v>
      </c>
      <c r="B29" t="inlineStr">
        <is>
          <t>Add Trade — Source Picker</t>
        </is>
      </c>
      <c r="C29" t="inlineStr">
        <is>
          <t>3 — Trades</t>
        </is>
      </c>
      <c r="D29">
        <f>COUNTIFS('QA Tracker'!C:C,28)</f>
        <v/>
      </c>
      <c r="E29">
        <f>COUNTIFS('QA Tracker'!C:C,28,'QA Tracker'!F:F,"P0")</f>
        <v/>
      </c>
      <c r="F29">
        <f>COUNTIFS('QA Tracker'!C:C,28,'QA Tracker'!J:J,"☑ Pass")</f>
        <v/>
      </c>
      <c r="G29">
        <f>COUNTIFS('QA Tracker'!C:C,28,'QA Tracker'!I:I,"☑ Pass")</f>
        <v/>
      </c>
      <c r="H29">
        <f>COUNTIFS('QA Tracker'!C:C,28,'QA Tracker'!L:L,"☑ Yes")</f>
        <v/>
      </c>
    </row>
    <row r="30">
      <c r="A30" t="n">
        <v>29</v>
      </c>
      <c r="B30" t="inlineStr">
        <is>
          <t>Add Trade — Trade &amp; Risk (Normal Scenarios)</t>
        </is>
      </c>
      <c r="C30" t="inlineStr">
        <is>
          <t>3 — Trades</t>
        </is>
      </c>
      <c r="D30">
        <f>COUNTIFS('QA Tracker'!C:C,29)</f>
        <v/>
      </c>
      <c r="E30">
        <f>COUNTIFS('QA Tracker'!C:C,29,'QA Tracker'!F:F,"P0")</f>
        <v/>
      </c>
      <c r="F30">
        <f>COUNTIFS('QA Tracker'!C:C,29,'QA Tracker'!J:J,"☑ Pass")</f>
        <v/>
      </c>
      <c r="G30">
        <f>COUNTIFS('QA Tracker'!C:C,29,'QA Tracker'!I:I,"☑ Pass")</f>
        <v/>
      </c>
      <c r="H30">
        <f>COUNTIFS('QA Tracker'!C:C,29,'QA Tracker'!L:L,"☑ Yes")</f>
        <v/>
      </c>
    </row>
    <row r="31">
      <c r="A31" t="n">
        <v>30</v>
      </c>
      <c r="B31" t="inlineStr">
        <is>
          <t>Add Trade — Field Input Extremes</t>
        </is>
      </c>
      <c r="C31" t="inlineStr">
        <is>
          <t>3 — Trades</t>
        </is>
      </c>
      <c r="D31">
        <f>COUNTIFS('QA Tracker'!C:C,30)</f>
        <v/>
      </c>
      <c r="E31">
        <f>COUNTIFS('QA Tracker'!C:C,30,'QA Tracker'!F:F,"P0")</f>
        <v/>
      </c>
      <c r="F31">
        <f>COUNTIFS('QA Tracker'!C:C,30,'QA Tracker'!J:J,"☑ Pass")</f>
        <v/>
      </c>
      <c r="G31">
        <f>COUNTIFS('QA Tracker'!C:C,30,'QA Tracker'!I:I,"☑ Pass")</f>
        <v/>
      </c>
      <c r="H31">
        <f>COUNTIFS('QA Tracker'!C:C,30,'QA Tracker'!L:L,"☑ Yes")</f>
        <v/>
      </c>
    </row>
    <row r="32">
      <c r="A32" t="n">
        <v>31</v>
      </c>
      <c r="B32" t="inlineStr">
        <is>
          <t>Add Trade — Validation Errors</t>
        </is>
      </c>
      <c r="C32" t="inlineStr">
        <is>
          <t>3 — Trades</t>
        </is>
      </c>
      <c r="D32">
        <f>COUNTIFS('QA Tracker'!C:C,31)</f>
        <v/>
      </c>
      <c r="E32">
        <f>COUNTIFS('QA Tracker'!C:C,31,'QA Tracker'!F:F,"P0")</f>
        <v/>
      </c>
      <c r="F32">
        <f>COUNTIFS('QA Tracker'!C:C,31,'QA Tracker'!J:J,"☑ Pass")</f>
        <v/>
      </c>
      <c r="G32">
        <f>COUNTIFS('QA Tracker'!C:C,31,'QA Tracker'!I:I,"☑ Pass")</f>
        <v/>
      </c>
      <c r="H32">
        <f>COUNTIFS('QA Tracker'!C:C,31,'QA Tracker'!L:L,"☑ Yes")</f>
        <v/>
      </c>
    </row>
    <row r="33">
      <c r="A33" t="n">
        <v>32</v>
      </c>
      <c r="B33" t="inlineStr">
        <is>
          <t>Add Trade — Excursion MFE/MAE</t>
        </is>
      </c>
      <c r="C33" t="inlineStr">
        <is>
          <t>3 — Trades</t>
        </is>
      </c>
      <c r="D33">
        <f>COUNTIFS('QA Tracker'!C:C,32)</f>
        <v/>
      </c>
      <c r="E33">
        <f>COUNTIFS('QA Tracker'!C:C,32,'QA Tracker'!F:F,"P0")</f>
        <v/>
      </c>
      <c r="F33">
        <f>COUNTIFS('QA Tracker'!C:C,32,'QA Tracker'!J:J,"☑ Pass")</f>
        <v/>
      </c>
      <c r="G33">
        <f>COUNTIFS('QA Tracker'!C:C,32,'QA Tracker'!I:I,"☑ Pass")</f>
        <v/>
      </c>
      <c r="H33">
        <f>COUNTIFS('QA Tracker'!C:C,32,'QA Tracker'!L:L,"☑ Yes")</f>
        <v/>
      </c>
    </row>
    <row r="34">
      <c r="A34" t="n">
        <v>33</v>
      </c>
      <c r="B34" t="inlineStr">
        <is>
          <t>Add Trade — Tags, Discipline, Notes</t>
        </is>
      </c>
      <c r="C34" t="inlineStr">
        <is>
          <t>3 — Trades</t>
        </is>
      </c>
      <c r="D34">
        <f>COUNTIFS('QA Tracker'!C:C,33)</f>
        <v/>
      </c>
      <c r="E34">
        <f>COUNTIFS('QA Tracker'!C:C,33,'QA Tracker'!F:F,"P0")</f>
        <v/>
      </c>
      <c r="F34">
        <f>COUNTIFS('QA Tracker'!C:C,33,'QA Tracker'!J:J,"☑ Pass")</f>
        <v/>
      </c>
      <c r="G34">
        <f>COUNTIFS('QA Tracker'!C:C,33,'QA Tracker'!I:I,"☑ Pass")</f>
        <v/>
      </c>
      <c r="H34">
        <f>COUNTIFS('QA Tracker'!C:C,33,'QA Tracker'!L:L,"☑ Yes")</f>
        <v/>
      </c>
    </row>
    <row r="35">
      <c r="A35" t="n">
        <v>34</v>
      </c>
      <c r="B35" t="inlineStr">
        <is>
          <t>Add Trade — Persistence &amp; Edit</t>
        </is>
      </c>
      <c r="C35" t="inlineStr">
        <is>
          <t>3 — Trades</t>
        </is>
      </c>
      <c r="D35">
        <f>COUNTIFS('QA Tracker'!C:C,34)</f>
        <v/>
      </c>
      <c r="E35">
        <f>COUNTIFS('QA Tracker'!C:C,34,'QA Tracker'!F:F,"P0")</f>
        <v/>
      </c>
      <c r="F35">
        <f>COUNTIFS('QA Tracker'!C:C,34,'QA Tracker'!J:J,"☑ Pass")</f>
        <v/>
      </c>
      <c r="G35">
        <f>COUNTIFS('QA Tracker'!C:C,34,'QA Tracker'!I:I,"☑ Pass")</f>
        <v/>
      </c>
      <c r="H35">
        <f>COUNTIFS('QA Tracker'!C:C,34,'QA Tracker'!L:L,"☑ Yes")</f>
        <v/>
      </c>
    </row>
    <row r="36">
      <c r="A36" t="n">
        <v>35</v>
      </c>
      <c r="B36" t="inlineStr">
        <is>
          <t>Sources Library — Open &amp; Shell</t>
        </is>
      </c>
      <c r="C36" t="inlineStr">
        <is>
          <t>4 — Sources</t>
        </is>
      </c>
      <c r="D36">
        <f>COUNTIFS('QA Tracker'!C:C,35)</f>
        <v/>
      </c>
      <c r="E36">
        <f>COUNTIFS('QA Tracker'!C:C,35,'QA Tracker'!F:F,"P0")</f>
        <v/>
      </c>
      <c r="F36">
        <f>COUNTIFS('QA Tracker'!C:C,35,'QA Tracker'!J:J,"☑ Pass")</f>
        <v/>
      </c>
      <c r="G36">
        <f>COUNTIFS('QA Tracker'!C:C,35,'QA Tracker'!I:I,"☑ Pass")</f>
        <v/>
      </c>
      <c r="H36">
        <f>COUNTIFS('QA Tracker'!C:C,35,'QA Tracker'!L:L,"☑ Yes")</f>
        <v/>
      </c>
    </row>
    <row r="37">
      <c r="A37" t="n">
        <v>36</v>
      </c>
      <c r="B37" t="inlineStr">
        <is>
          <t>Sources — Tree Navigation</t>
        </is>
      </c>
      <c r="C37" t="inlineStr">
        <is>
          <t>4 — Sources</t>
        </is>
      </c>
      <c r="D37">
        <f>COUNTIFS('QA Tracker'!C:C,36)</f>
        <v/>
      </c>
      <c r="E37">
        <f>COUNTIFS('QA Tracker'!C:C,36,'QA Tracker'!F:F,"P0")</f>
        <v/>
      </c>
      <c r="F37">
        <f>COUNTIFS('QA Tracker'!C:C,36,'QA Tracker'!J:J,"☑ Pass")</f>
        <v/>
      </c>
      <c r="G37">
        <f>COUNTIFS('QA Tracker'!C:C,36,'QA Tracker'!I:I,"☑ Pass")</f>
        <v/>
      </c>
      <c r="H37">
        <f>COUNTIFS('QA Tracker'!C:C,36,'QA Tracker'!L:L,"☑ Yes")</f>
        <v/>
      </c>
    </row>
    <row r="38">
      <c r="A38" t="n">
        <v>37</v>
      </c>
      <c r="B38" t="inlineStr">
        <is>
          <t>Sources — Filter Matrix (Backtests)</t>
        </is>
      </c>
      <c r="C38" t="inlineStr">
        <is>
          <t>4 — Sources</t>
        </is>
      </c>
      <c r="D38">
        <f>COUNTIFS('QA Tracker'!C:C,37)</f>
        <v/>
      </c>
      <c r="E38">
        <f>COUNTIFS('QA Tracker'!C:C,37,'QA Tracker'!F:F,"P0")</f>
        <v/>
      </c>
      <c r="F38">
        <f>COUNTIFS('QA Tracker'!C:C,37,'QA Tracker'!J:J,"☑ Pass")</f>
        <v/>
      </c>
      <c r="G38">
        <f>COUNTIFS('QA Tracker'!C:C,37,'QA Tracker'!I:I,"☑ Pass")</f>
        <v/>
      </c>
      <c r="H38">
        <f>COUNTIFS('QA Tracker'!C:C,37,'QA Tracker'!L:L,"☑ Yes")</f>
        <v/>
      </c>
    </row>
    <row r="39">
      <c r="A39" t="n">
        <v>38</v>
      </c>
      <c r="B39" t="inlineStr">
        <is>
          <t>Sources — Selection &amp; Footer</t>
        </is>
      </c>
      <c r="C39" t="inlineStr">
        <is>
          <t>4 — Sources</t>
        </is>
      </c>
      <c r="D39">
        <f>COUNTIFS('QA Tracker'!C:C,38)</f>
        <v/>
      </c>
      <c r="E39">
        <f>COUNTIFS('QA Tracker'!C:C,38,'QA Tracker'!F:F,"P0")</f>
        <v/>
      </c>
      <c r="F39">
        <f>COUNTIFS('QA Tracker'!C:C,38,'QA Tracker'!J:J,"☑ Pass")</f>
        <v/>
      </c>
      <c r="G39">
        <f>COUNTIFS('QA Tracker'!C:C,38,'QA Tracker'!I:I,"☑ Pass")</f>
        <v/>
      </c>
      <c r="H39">
        <f>COUNTIFS('QA Tracker'!C:C,38,'QA Tracker'!L:L,"☑ Yes")</f>
        <v/>
      </c>
    </row>
    <row r="40">
      <c r="A40" t="n">
        <v>39</v>
      </c>
      <c r="B40" t="inlineStr">
        <is>
          <t>Sources — Go Behavior &amp; Banner</t>
        </is>
      </c>
      <c r="C40" t="inlineStr">
        <is>
          <t>4 — Sources</t>
        </is>
      </c>
      <c r="D40">
        <f>COUNTIFS('QA Tracker'!C:C,39)</f>
        <v/>
      </c>
      <c r="E40">
        <f>COUNTIFS('QA Tracker'!C:C,39,'QA Tracker'!F:F,"P0")</f>
        <v/>
      </c>
      <c r="F40">
        <f>COUNTIFS('QA Tracker'!C:C,39,'QA Tracker'!J:J,"☑ Pass")</f>
        <v/>
      </c>
      <c r="G40">
        <f>COUNTIFS('QA Tracker'!C:C,39,'QA Tracker'!I:I,"☑ Pass")</f>
        <v/>
      </c>
      <c r="H40">
        <f>COUNTIFS('QA Tracker'!C:C,39,'QA Tracker'!L:L,"☑ Yes")</f>
        <v/>
      </c>
    </row>
    <row r="41">
      <c r="A41" t="n">
        <v>40</v>
      </c>
      <c r="B41" t="inlineStr">
        <is>
          <t>Sources — Header Actions &amp; Compare</t>
        </is>
      </c>
      <c r="C41" t="inlineStr">
        <is>
          <t>4 — Sources</t>
        </is>
      </c>
      <c r="D41">
        <f>COUNTIFS('QA Tracker'!C:C,40)</f>
        <v/>
      </c>
      <c r="E41">
        <f>COUNTIFS('QA Tracker'!C:C,40,'QA Tracker'!F:F,"P0")</f>
        <v/>
      </c>
      <c r="F41">
        <f>COUNTIFS('QA Tracker'!C:C,40,'QA Tracker'!J:J,"☑ Pass")</f>
        <v/>
      </c>
      <c r="G41">
        <f>COUNTIFS('QA Tracker'!C:C,40,'QA Tracker'!I:I,"☑ Pass")</f>
        <v/>
      </c>
      <c r="H41">
        <f>COUNTIFS('QA Tracker'!C:C,40,'QA Tracker'!L:L,"☑ Yes")</f>
        <v/>
      </c>
    </row>
    <row r="42">
      <c r="A42" t="n">
        <v>41</v>
      </c>
      <c r="B42" t="inlineStr">
        <is>
          <t>Cross-Section Integration</t>
        </is>
      </c>
      <c r="C42" t="inlineStr">
        <is>
          <t>4 — Sources</t>
        </is>
      </c>
      <c r="D42">
        <f>COUNTIFS('QA Tracker'!C:C,41)</f>
        <v/>
      </c>
      <c r="E42">
        <f>COUNTIFS('QA Tracker'!C:C,41,'QA Tracker'!F:F,"P0")</f>
        <v/>
      </c>
      <c r="F42">
        <f>COUNTIFS('QA Tracker'!C:C,41,'QA Tracker'!J:J,"☑ Pass")</f>
        <v/>
      </c>
      <c r="G42">
        <f>COUNTIFS('QA Tracker'!C:C,41,'QA Tracker'!I:I,"☑ Pass")</f>
        <v/>
      </c>
      <c r="H42">
        <f>COUNTIFS('QA Tracker'!C:C,41,'QA Tracker'!L:L,"☑ Yes")</f>
        <v/>
      </c>
    </row>
    <row r="43">
      <c r="A43" t="n">
        <v>42</v>
      </c>
      <c r="B43" t="inlineStr">
        <is>
          <t>Sessions — Visual Structure per Mode</t>
        </is>
      </c>
      <c r="C43" t="inlineStr">
        <is>
          <t>2 — Sessions</t>
        </is>
      </c>
      <c r="D43">
        <f>COUNTIFS('QA Tracker'!C:C,42)</f>
        <v/>
      </c>
      <c r="E43">
        <f>COUNTIFS('QA Tracker'!C:C,42,'QA Tracker'!F:F,"P0")</f>
        <v/>
      </c>
      <c r="F43">
        <f>COUNTIFS('QA Tracker'!C:C,42,'QA Tracker'!J:J,"☑ Pass")</f>
        <v/>
      </c>
      <c r="G43">
        <f>COUNTIFS('QA Tracker'!C:C,42,'QA Tracker'!I:I,"☑ Pass")</f>
        <v/>
      </c>
      <c r="H43">
        <f>COUNTIFS('QA Tracker'!C:C,42,'QA Tracker'!L:L,"☑ Yes")</f>
        <v/>
      </c>
    </row>
    <row r="44">
      <c r="A44" t="n">
        <v>43</v>
      </c>
      <c r="B44" t="inlineStr">
        <is>
          <t>Add Session — Mode × Asset Class Matrix</t>
        </is>
      </c>
      <c r="C44" t="inlineStr">
        <is>
          <t>2 — Sessions</t>
        </is>
      </c>
      <c r="D44">
        <f>COUNTIFS('QA Tracker'!C:C,43)</f>
        <v/>
      </c>
      <c r="E44">
        <f>COUNTIFS('QA Tracker'!C:C,43,'QA Tracker'!F:F,"P0")</f>
        <v/>
      </c>
      <c r="F44">
        <f>COUNTIFS('QA Tracker'!C:C,43,'QA Tracker'!J:J,"☑ Pass")</f>
        <v/>
      </c>
      <c r="G44">
        <f>COUNTIFS('QA Tracker'!C:C,43,'QA Tracker'!I:I,"☑ Pass")</f>
        <v/>
      </c>
      <c r="H44">
        <f>COUNTIFS('QA Tracker'!C:C,43,'QA Tracker'!L:L,"☑ Yes")</f>
        <v/>
      </c>
    </row>
    <row r="45">
      <c r="A45" t="n">
        <v>44</v>
      </c>
      <c r="B45" t="inlineStr">
        <is>
          <t>Builder — Condition Status Visuals</t>
        </is>
      </c>
      <c r="C45" t="inlineStr">
        <is>
          <t>1 — Strategies</t>
        </is>
      </c>
      <c r="D45">
        <f>COUNTIFS('QA Tracker'!C:C,44)</f>
        <v/>
      </c>
      <c r="E45">
        <f>COUNTIFS('QA Tracker'!C:C,44,'QA Tracker'!F:F,"P0")</f>
        <v/>
      </c>
      <c r="F45">
        <f>COUNTIFS('QA Tracker'!C:C,44,'QA Tracker'!J:J,"☑ Pass")</f>
        <v/>
      </c>
      <c r="G45">
        <f>COUNTIFS('QA Tracker'!C:C,44,'QA Tracker'!I:I,"☑ Pass")</f>
        <v/>
      </c>
      <c r="H45">
        <f>COUNTIFS('QA Tracker'!C:C,44,'QA Tracker'!L:L,"☑ Yes")</f>
        <v/>
      </c>
    </row>
    <row r="46">
      <c r="A46" t="n">
        <v>45</v>
      </c>
      <c r="B46" t="inlineStr">
        <is>
          <t>Trades Table — Visuals &amp; Edge Data</t>
        </is>
      </c>
      <c r="C46" t="inlineStr">
        <is>
          <t>3 — Trades</t>
        </is>
      </c>
      <c r="D46">
        <f>COUNTIFS('QA Tracker'!C:C,45)</f>
        <v/>
      </c>
      <c r="E46">
        <f>COUNTIFS('QA Tracker'!C:C,45,'QA Tracker'!F:F,"P0")</f>
        <v/>
      </c>
      <c r="F46">
        <f>COUNTIFS('QA Tracker'!C:C,45,'QA Tracker'!J:J,"☑ Pass")</f>
        <v/>
      </c>
      <c r="G46">
        <f>COUNTIFS('QA Tracker'!C:C,45,'QA Tracker'!I:I,"☑ Pass")</f>
        <v/>
      </c>
      <c r="H46">
        <f>COUNTIFS('QA Tracker'!C:C,45,'QA Tracker'!L:L,"☑ Yes")</f>
        <v/>
      </c>
    </row>
    <row r="47">
      <c r="A47" t="n">
        <v>46</v>
      </c>
      <c r="B47" t="inlineStr">
        <is>
          <t>Add Trade — Date/Time Boundaries</t>
        </is>
      </c>
      <c r="C47" t="inlineStr">
        <is>
          <t>3 — Trades</t>
        </is>
      </c>
      <c r="D47">
        <f>COUNTIFS('QA Tracker'!C:C,46)</f>
        <v/>
      </c>
      <c r="E47">
        <f>COUNTIFS('QA Tracker'!C:C,46,'QA Tracker'!F:F,"P0")</f>
        <v/>
      </c>
      <c r="F47">
        <f>COUNTIFS('QA Tracker'!C:C,46,'QA Tracker'!J:J,"☑ Pass")</f>
        <v/>
      </c>
      <c r="G47">
        <f>COUNTIFS('QA Tracker'!C:C,46,'QA Tracker'!I:I,"☑ Pass")</f>
        <v/>
      </c>
      <c r="H47">
        <f>COUNTIFS('QA Tracker'!C:C,46,'QA Tracker'!L:L,"☑ Yes")</f>
        <v/>
      </c>
    </row>
    <row r="48">
      <c r="A48" t="n">
        <v>47</v>
      </c>
      <c r="B48" t="inlineStr">
        <is>
          <t>Add Trade — Multi-Entry/Target Math</t>
        </is>
      </c>
      <c r="C48" t="inlineStr">
        <is>
          <t>3 — Trades</t>
        </is>
      </c>
      <c r="D48">
        <f>COUNTIFS('QA Tracker'!C:C,47)</f>
        <v/>
      </c>
      <c r="E48">
        <f>COUNTIFS('QA Tracker'!C:C,47,'QA Tracker'!F:F,"P0")</f>
        <v/>
      </c>
      <c r="F48">
        <f>COUNTIFS('QA Tracker'!C:C,47,'QA Tracker'!J:J,"☑ Pass")</f>
        <v/>
      </c>
      <c r="G48">
        <f>COUNTIFS('QA Tracker'!C:C,47,'QA Tracker'!I:I,"☑ Pass")</f>
        <v/>
      </c>
      <c r="H48">
        <f>COUNTIFS('QA Tracker'!C:C,47,'QA Tracker'!L:L,"☑ Yes")</f>
        <v/>
      </c>
    </row>
    <row r="49">
      <c r="A49" t="n">
        <v>48</v>
      </c>
      <c r="B49" t="inlineStr">
        <is>
          <t>Sources — Type Badge &amp; Footer Visuals</t>
        </is>
      </c>
      <c r="C49" t="inlineStr">
        <is>
          <t>4 — Sources</t>
        </is>
      </c>
      <c r="D49">
        <f>COUNTIFS('QA Tracker'!C:C,48)</f>
        <v/>
      </c>
      <c r="E49">
        <f>COUNTIFS('QA Tracker'!C:C,48,'QA Tracker'!F:F,"P0")</f>
        <v/>
      </c>
      <c r="F49">
        <f>COUNTIFS('QA Tracker'!C:C,48,'QA Tracker'!J:J,"☑ Pass")</f>
        <v/>
      </c>
      <c r="G49">
        <f>COUNTIFS('QA Tracker'!C:C,48,'QA Tracker'!I:I,"☑ Pass")</f>
        <v/>
      </c>
      <c r="H49">
        <f>COUNTIFS('QA Tracker'!C:C,48,'QA Tracker'!L:L,"☑ Yes")</f>
        <v/>
      </c>
    </row>
    <row r="50">
      <c r="A50" t="n">
        <v>49</v>
      </c>
      <c r="B50" t="inlineStr">
        <is>
          <t>Abuse &amp; Security Inputs</t>
        </is>
      </c>
      <c r="C50" t="inlineStr">
        <is>
          <t>1 — Strategies</t>
        </is>
      </c>
      <c r="D50">
        <f>COUNTIFS('QA Tracker'!C:C,49)</f>
        <v/>
      </c>
      <c r="E50">
        <f>COUNTIFS('QA Tracker'!C:C,49,'QA Tracker'!F:F,"P0")</f>
        <v/>
      </c>
      <c r="F50">
        <f>COUNTIFS('QA Tracker'!C:C,49,'QA Tracker'!J:J,"☑ Pass")</f>
        <v/>
      </c>
      <c r="G50">
        <f>COUNTIFS('QA Tracker'!C:C,49,'QA Tracker'!I:I,"☑ Pass")</f>
        <v/>
      </c>
      <c r="H50">
        <f>COUNTIFS('QA Tracker'!C:C,49,'QA Tracker'!L:L,"☑ Yes")</f>
        <v/>
      </c>
    </row>
    <row r="51">
      <c r="A51" t="n">
        <v>50</v>
      </c>
      <c r="B51" t="inlineStr">
        <is>
          <t>Responsive Layout — Strategies</t>
        </is>
      </c>
      <c r="C51" t="inlineStr">
        <is>
          <t>1 — Strategies</t>
        </is>
      </c>
      <c r="D51">
        <f>COUNTIFS('QA Tracker'!C:C,50)</f>
        <v/>
      </c>
      <c r="E51">
        <f>COUNTIFS('QA Tracker'!C:C,50,'QA Tracker'!F:F,"P0")</f>
        <v/>
      </c>
      <c r="F51">
        <f>COUNTIFS('QA Tracker'!C:C,50,'QA Tracker'!J:J,"☑ Pass")</f>
        <v/>
      </c>
      <c r="G51">
        <f>COUNTIFS('QA Tracker'!C:C,50,'QA Tracker'!I:I,"☑ Pass")</f>
        <v/>
      </c>
      <c r="H51">
        <f>COUNTIFS('QA Tracker'!C:C,50,'QA Tracker'!L:L,"☑ Yes")</f>
        <v/>
      </c>
    </row>
    <row r="52">
      <c r="A52" t="n">
        <v>51</v>
      </c>
      <c r="B52" t="inlineStr">
        <is>
          <t>Add Session — Toggle Disabled States</t>
        </is>
      </c>
      <c r="C52" t="inlineStr">
        <is>
          <t>2 — Sessions</t>
        </is>
      </c>
      <c r="D52">
        <f>COUNTIFS('QA Tracker'!C:C,51)</f>
        <v/>
      </c>
      <c r="E52">
        <f>COUNTIFS('QA Tracker'!C:C,51,'QA Tracker'!F:F,"P0")</f>
        <v/>
      </c>
      <c r="F52">
        <f>COUNTIFS('QA Tracker'!C:C,51,'QA Tracker'!J:J,"☑ Pass")</f>
        <v/>
      </c>
      <c r="G52">
        <f>COUNTIFS('QA Tracker'!C:C,51,'QA Tracker'!I:I,"☑ Pass")</f>
        <v/>
      </c>
      <c r="H52">
        <f>COUNTIFS('QA Tracker'!C:C,51,'QA Tracker'!L:L,"☑ Yes")</f>
        <v/>
      </c>
    </row>
    <row r="53">
      <c r="A53" t="n">
        <v>52</v>
      </c>
      <c r="B53" t="inlineStr">
        <is>
          <t>Strategy Bank — Community Tab (disabled)</t>
        </is>
      </c>
      <c r="C53" t="inlineStr">
        <is>
          <t>1 — Strategies</t>
        </is>
      </c>
      <c r="D53">
        <f>COUNTIFS('QA Tracker'!C:C,52)</f>
        <v/>
      </c>
      <c r="E53">
        <f>COUNTIFS('QA Tracker'!C:C,52,'QA Tracker'!F:F,"P0")</f>
        <v/>
      </c>
      <c r="F53">
        <f>COUNTIFS('QA Tracker'!C:C,52,'QA Tracker'!J:J,"☑ Pass")</f>
        <v/>
      </c>
      <c r="G53">
        <f>COUNTIFS('QA Tracker'!C:C,52,'QA Tracker'!I:I,"☑ Pass")</f>
        <v/>
      </c>
      <c r="H53">
        <f>COUNTIFS('QA Tracker'!C:C,52,'QA Tracker'!L:L,"☑ Yes")</f>
        <v/>
      </c>
    </row>
    <row r="54">
      <c r="A54" t="n">
        <v>53</v>
      </c>
      <c r="B54" t="inlineStr">
        <is>
          <t>Trades — Import/Export File Matrix</t>
        </is>
      </c>
      <c r="C54" t="inlineStr">
        <is>
          <t>3 — Trades</t>
        </is>
      </c>
      <c r="D54">
        <f>COUNTIFS('QA Tracker'!C:C,53)</f>
        <v/>
      </c>
      <c r="E54">
        <f>COUNTIFS('QA Tracker'!C:C,53,'QA Tracker'!F:F,"P0")</f>
        <v/>
      </c>
      <c r="F54">
        <f>COUNTIFS('QA Tracker'!C:C,53,'QA Tracker'!J:J,"☑ Pass")</f>
        <v/>
      </c>
      <c r="G54">
        <f>COUNTIFS('QA Tracker'!C:C,53,'QA Tracker'!I:I,"☑ Pass")</f>
        <v/>
      </c>
      <c r="H54">
        <f>COUNTIFS('QA Tracker'!C:C,53,'QA Tracker'!L:L,"☑ Yes")</f>
        <v/>
      </c>
    </row>
    <row r="55">
      <c r="A55" t="n">
        <v>54</v>
      </c>
      <c r="B55" t="inlineStr">
        <is>
          <t>Sources — Compare Multi-Select</t>
        </is>
      </c>
      <c r="C55" t="inlineStr">
        <is>
          <t>4 — Sources</t>
        </is>
      </c>
      <c r="D55">
        <f>COUNTIFS('QA Tracker'!C:C,54)</f>
        <v/>
      </c>
      <c r="E55">
        <f>COUNTIFS('QA Tracker'!C:C,54,'QA Tracker'!F:F,"P0")</f>
        <v/>
      </c>
      <c r="F55">
        <f>COUNTIFS('QA Tracker'!C:C,54,'QA Tracker'!J:J,"☑ Pass")</f>
        <v/>
      </c>
      <c r="G55">
        <f>COUNTIFS('QA Tracker'!C:C,54,'QA Tracker'!I:I,"☑ Pass")</f>
        <v/>
      </c>
      <c r="H55">
        <f>COUNTIFS('QA Tracker'!C:C,54,'QA Tracker'!L:L,"☑ Yes")</f>
        <v/>
      </c>
    </row>
    <row r="56">
      <c r="A56" t="n">
        <v>55</v>
      </c>
      <c r="B56" t="inlineStr">
        <is>
          <t>Sources — Cancel vs Go State Machine</t>
        </is>
      </c>
      <c r="C56" t="inlineStr">
        <is>
          <t>4 — Sources</t>
        </is>
      </c>
      <c r="D56">
        <f>COUNTIFS('QA Tracker'!C:C,55)</f>
        <v/>
      </c>
      <c r="E56">
        <f>COUNTIFS('QA Tracker'!C:C,55,'QA Tracker'!F:F,"P0")</f>
        <v/>
      </c>
      <c r="F56">
        <f>COUNTIFS('QA Tracker'!C:C,55,'QA Tracker'!J:J,"☑ Pass")</f>
        <v/>
      </c>
      <c r="G56">
        <f>COUNTIFS('QA Tracker'!C:C,55,'QA Tracker'!I:I,"☑ Pass")</f>
        <v/>
      </c>
      <c r="H56">
        <f>COUNTIFS('QA Tracker'!C:C,55,'QA Tracker'!L:L,"☑ Yes")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12" t="inlineStr">
        <is>
          <t>Built-in limits &amp; validation reference (from codebase)</t>
        </is>
      </c>
    </row>
    <row r="2">
      <c r="A2" s="2" t="inlineStr"/>
      <c r="B2" t="inlineStr"/>
    </row>
    <row r="3">
      <c r="A3" s="4" t="inlineStr">
        <is>
          <t>STRATEGY BUILDER</t>
        </is>
      </c>
      <c r="B3" t="inlineStr"/>
    </row>
    <row r="4">
      <c r="A4" s="2" t="inlineStr">
        <is>
          <t>Strategy name</t>
        </is>
      </c>
      <c r="B4" t="inlineStr">
        <is>
          <t>Required, max 80 chars</t>
        </is>
      </c>
    </row>
    <row r="5">
      <c r="A5" s="2" t="inlineStr">
        <is>
          <t>Description</t>
        </is>
      </c>
      <c r="B5" t="inlineStr">
        <is>
          <t>Optional, max 500 chars</t>
        </is>
      </c>
    </row>
    <row r="6">
      <c r="A6" s="2" t="inlineStr">
        <is>
          <t>Tags</t>
        </is>
      </c>
      <c r="B6" t="inlineStr">
        <is>
          <t>Max 10</t>
        </is>
      </c>
    </row>
    <row r="7">
      <c r="A7" s="2" t="inlineStr">
        <is>
          <t>Markets</t>
        </is>
      </c>
      <c r="B7" t="inlineStr">
        <is>
          <t>Required, at least 1 (Forex/Futures/Crypto/Stocks)</t>
        </is>
      </c>
    </row>
    <row r="8">
      <c r="A8" s="2" t="inlineStr">
        <is>
          <t>Instruments</t>
        </is>
      </c>
      <c r="B8" t="inlineStr">
        <is>
          <t>Max 10</t>
        </is>
      </c>
    </row>
    <row r="9">
      <c r="A9" s="2" t="inlineStr">
        <is>
          <t>Timeframes</t>
        </is>
      </c>
      <c r="B9" t="inlineStr">
        <is>
          <t>Required, max 6; custom TF supported</t>
        </is>
      </c>
    </row>
    <row r="10">
      <c r="A10" s="2" t="inlineStr">
        <is>
          <t>Cover images</t>
        </is>
      </c>
      <c r="B10" t="inlineStr">
        <is>
          <t>Max 6</t>
        </is>
      </c>
    </row>
    <row r="11">
      <c r="A11" s="2" t="inlineStr">
        <is>
          <t>Condition title</t>
        </is>
      </c>
      <c r="B11" t="inlineStr">
        <is>
          <t>~70 chars max</t>
        </is>
      </c>
    </row>
    <row r="12">
      <c r="A12" s="2" t="inlineStr"/>
      <c r="B12" t="inlineStr"/>
    </row>
    <row r="13">
      <c r="A13" s="4" t="inlineStr">
        <is>
          <t>SESSION MODAL</t>
        </is>
      </c>
      <c r="B13" t="inlineStr"/>
    </row>
    <row r="14">
      <c r="A14" s="2" t="inlineStr">
        <is>
          <t>Session name</t>
        </is>
      </c>
      <c r="B14" t="inlineStr">
        <is>
          <t>Required</t>
        </is>
      </c>
    </row>
    <row r="15">
      <c r="A15" s="2" t="inlineStr">
        <is>
          <t>Primary tickers</t>
        </is>
      </c>
      <c r="B15" t="inlineStr">
        <is>
          <t>Required, max = plan (default 5)</t>
        </is>
      </c>
    </row>
    <row r="16">
      <c r="A16" s="2" t="inlineStr">
        <is>
          <t>Supporting tickers</t>
        </is>
      </c>
      <c r="B16" t="inlineStr">
        <is>
          <t>Max = plan supporting cap</t>
        </is>
      </c>
    </row>
    <row r="17">
      <c r="A17" s="2" t="inlineStr">
        <is>
          <t>Start/end dates</t>
        </is>
      </c>
      <c r="B17" t="inlineStr">
        <is>
          <t>Required for range mode</t>
        </is>
      </c>
    </row>
    <row r="18">
      <c r="A18" s="2" t="inlineStr">
        <is>
          <t>Capital</t>
        </is>
      </c>
      <c r="B18" t="inlineStr">
        <is>
          <t>Required, &gt; 0</t>
        </is>
      </c>
    </row>
    <row r="19">
      <c r="A19" s="2" t="inlineStr">
        <is>
          <t>Prop firm</t>
        </is>
      </c>
      <c r="B19" t="inlineStr">
        <is>
          <t>Disabled for Futures asset class tab</t>
        </is>
      </c>
    </row>
    <row r="20">
      <c r="A20" s="2" t="inlineStr"/>
      <c r="B20" t="inlineStr"/>
    </row>
    <row r="21">
      <c r="A21" s="4" t="inlineStr">
        <is>
          <t>ADD TRADE VALIDATION</t>
        </is>
      </c>
      <c r="B21" t="inlineStr"/>
    </row>
    <row r="22">
      <c r="A22" s="2" t="inlineStr">
        <is>
          <t>Stop loss</t>
        </is>
      </c>
      <c r="B22" t="inlineStr">
        <is>
          <t>Required, &gt; 0; below entries (long) / above (short)</t>
        </is>
      </c>
    </row>
    <row r="23">
      <c r="A23" s="2" t="inlineStr">
        <is>
          <t>Targets</t>
        </is>
      </c>
      <c r="B23" t="inlineStr">
        <is>
          <t>Above entries (long) / below (short)</t>
        </is>
      </c>
    </row>
    <row r="24">
      <c r="A24" s="2" t="inlineStr">
        <is>
          <t>Exit size</t>
        </is>
      </c>
      <c r="B24" t="inlineStr">
        <is>
          <t>Cannot exceed entry size</t>
        </is>
      </c>
    </row>
    <row r="25">
      <c r="A25" s="2" t="inlineStr">
        <is>
          <t>Excursion</t>
        </is>
      </c>
      <c r="B25" t="inlineStr">
        <is>
          <t>High &gt; low; entry inside range; max ~500R</t>
        </is>
      </c>
    </row>
    <row r="26">
      <c r="A26" s="2" t="inlineStr">
        <is>
          <t>Extended excursion</t>
        </is>
      </c>
      <c r="B26" t="inlineStr">
        <is>
          <t>Requires closed trade + post range + integer window &gt; 0</t>
        </is>
      </c>
    </row>
    <row r="27">
      <c r="A27" s="2" t="inlineStr">
        <is>
          <t>Journal trade</t>
        </is>
      </c>
      <c r="B27" t="inlineStr">
        <is>
          <t>Strategy/setup required (non-live journal)</t>
        </is>
      </c>
    </row>
    <row r="28">
      <c r="A28" s="2" t="inlineStr"/>
      <c r="B28" t="inlineStr"/>
    </row>
    <row r="29">
      <c r="A29" s="4" t="inlineStr">
        <is>
          <t>SOURCES</t>
        </is>
      </c>
      <c r="B29" t="inlineStr"/>
    </row>
    <row r="30">
      <c r="A30" s="2" t="inlineStr">
        <is>
          <t>Filter combos</t>
        </is>
      </c>
      <c r="B30" t="inlineStr">
        <is>
          <t>Mode (Std/Prop) × Status (All/Not Started/Active/Completed)</t>
        </is>
      </c>
    </row>
    <row r="31">
      <c r="A31" s="2" t="inlineStr">
        <is>
          <t>Strategy selection</t>
        </is>
      </c>
      <c r="B31" t="inlineStr">
        <is>
          <t>Partial child checkboxes supported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6" customWidth="1" min="3" max="3"/>
    <col width="26" customWidth="1" min="4" max="4"/>
    <col width="14" customWidth="1" min="5" max="5"/>
    <col width="7" customWidth="1" min="6" max="6"/>
    <col width="48" customWidth="1" min="7" max="7"/>
    <col width="22" customWidth="1" min="8" max="8"/>
    <col width="38" customWidth="1" min="9" max="9"/>
    <col width="12" customWidth="1" min="10" max="10"/>
    <col width="12" customWidth="1" min="11" max="11"/>
    <col width="9" customWidth="1" min="12" max="12"/>
    <col width="32" customWidth="1" min="13" max="13"/>
  </cols>
  <sheetData>
    <row r="1">
      <c r="A1" s="11" t="inlineStr">
        <is>
          <t>Step #</t>
        </is>
      </c>
      <c r="B1" s="11" t="inlineStr">
        <is>
          <t>Section</t>
        </is>
      </c>
      <c r="C1" s="11" t="inlineStr">
        <is>
          <t>Phase</t>
        </is>
      </c>
      <c r="D1" s="11" t="inlineStr">
        <is>
          <t>Phase Name</t>
        </is>
      </c>
      <c r="E1" s="11" t="inlineStr">
        <is>
          <t>Category</t>
        </is>
      </c>
      <c r="F1" s="11" t="inlineStr">
        <is>
          <t>Priority</t>
        </is>
      </c>
      <c r="G1" s="11" t="inlineStr">
        <is>
          <t>What to Do</t>
        </is>
      </c>
      <c r="H1" s="11" t="inlineStr">
        <is>
          <t>Test Input</t>
        </is>
      </c>
      <c r="I1" s="11" t="inlineStr">
        <is>
          <t>Expected Result</t>
        </is>
      </c>
      <c r="J1" s="11" t="inlineStr">
        <is>
          <t>Tester A</t>
        </is>
      </c>
      <c r="K1" s="11" t="inlineStr">
        <is>
          <t>Tester B</t>
        </is>
      </c>
      <c r="L1" s="11" t="inlineStr">
        <is>
          <t>Issue?</t>
        </is>
      </c>
      <c r="M1" s="11" t="inlineStr">
        <is>
          <t>Comments</t>
        </is>
      </c>
    </row>
    <row r="2">
      <c r="A2" t="n">
        <v>1</v>
      </c>
      <c r="B2" t="inlineStr">
        <is>
          <t>1 — Strategies</t>
        </is>
      </c>
      <c r="C2" t="n">
        <v>1</v>
      </c>
      <c r="D2" t="inlineStr">
        <is>
          <t>Strategy Bank — Access &amp; Shell</t>
        </is>
      </c>
      <c r="E2" t="inlineStr">
        <is>
          <t>Structure</t>
        </is>
      </c>
      <c r="F2" t="inlineStr">
        <is>
          <t>P0</t>
        </is>
      </c>
      <c r="G2" t="inlineStr">
        <is>
          <t>Open /dashboard/ while logged in.</t>
        </is>
      </c>
      <c r="H2" t="inlineStr">
        <is>
          <t>—</t>
        </is>
      </c>
      <c r="I2" t="inlineStr">
        <is>
          <t>Dashboard shell loads; left nav visible.</t>
        </is>
      </c>
      <c r="J2" t="inlineStr">
        <is>
          <t>— Not tested</t>
        </is>
      </c>
      <c r="K2" t="inlineStr">
        <is>
          <t>— Not tested</t>
        </is>
      </c>
      <c r="L2" t="inlineStr">
        <is>
          <t>— Not tested</t>
        </is>
      </c>
    </row>
    <row r="3">
      <c r="A3" t="n">
        <v>2</v>
      </c>
      <c r="B3" t="inlineStr">
        <is>
          <t>1 — Strategies</t>
        </is>
      </c>
      <c r="C3" t="n">
        <v>1</v>
      </c>
      <c r="D3" t="inlineStr">
        <is>
          <t>Strategy Bank — Access &amp; Shell</t>
        </is>
      </c>
      <c r="E3" t="inlineStr">
        <is>
          <t>Structure</t>
        </is>
      </c>
      <c r="F3" t="inlineStr">
        <is>
          <t>P0</t>
        </is>
      </c>
      <c r="G3" t="inlineStr">
        <is>
          <t>Navigate to Strategies via left nav.</t>
        </is>
      </c>
      <c r="H3" t="inlineStr">
        <is>
          <t>—</t>
        </is>
      </c>
      <c r="I3" t="inlineStr">
        <is>
          <t>Strategy Bank page; header title visible.</t>
        </is>
      </c>
      <c r="J3" t="inlineStr">
        <is>
          <t>— Not tested</t>
        </is>
      </c>
      <c r="K3" t="inlineStr">
        <is>
          <t>— Not tested</t>
        </is>
      </c>
      <c r="L3" t="inlineStr">
        <is>
          <t>— Not tested</t>
        </is>
      </c>
    </row>
    <row r="4">
      <c r="A4" t="n">
        <v>3</v>
      </c>
      <c r="B4" t="inlineStr">
        <is>
          <t>1 — Strategies</t>
        </is>
      </c>
      <c r="C4" t="n">
        <v>1</v>
      </c>
      <c r="D4" t="inlineStr">
        <is>
          <t>Strategy Bank — Access &amp; Shell</t>
        </is>
      </c>
      <c r="E4" t="inlineStr">
        <is>
          <t>Structure</t>
        </is>
      </c>
      <c r="F4" t="inlineStr">
        <is>
          <t>P1</t>
        </is>
      </c>
      <c r="G4" t="inlineStr">
        <is>
          <t>Refresh browser on Strategy Bank.</t>
        </is>
      </c>
      <c r="H4" t="inlineStr">
        <is>
          <t>—</t>
        </is>
      </c>
      <c r="I4" t="inlineStr">
        <is>
          <t>Page reloads; strategies list persists.</t>
        </is>
      </c>
      <c r="J4" t="inlineStr">
        <is>
          <t>— Not tested</t>
        </is>
      </c>
      <c r="K4" t="inlineStr">
        <is>
          <t>— Not tested</t>
        </is>
      </c>
      <c r="L4" t="inlineStr">
        <is>
          <t>— Not tested</t>
        </is>
      </c>
    </row>
    <row r="5">
      <c r="A5" t="n">
        <v>4</v>
      </c>
      <c r="B5" t="inlineStr">
        <is>
          <t>1 — Strategies</t>
        </is>
      </c>
      <c r="C5" t="n">
        <v>1</v>
      </c>
      <c r="D5" t="inlineStr">
        <is>
          <t>Strategy Bank — Access &amp; Shell</t>
        </is>
      </c>
      <c r="E5" t="inlineStr">
        <is>
          <t>Structure</t>
        </is>
      </c>
      <c r="F5" t="inlineStr">
        <is>
          <t>P1</t>
        </is>
      </c>
      <c r="G5" t="inlineStr">
        <is>
          <t>Resize browser: 1920px, 1366px, 1024px widths.</t>
        </is>
      </c>
      <c r="H5" t="inlineStr">
        <is>
          <t>3 widths</t>
        </is>
      </c>
      <c r="I5" t="inlineStr">
        <is>
          <t>Layout does not overlap or clip header/controls.</t>
        </is>
      </c>
      <c r="J5" t="inlineStr">
        <is>
          <t>— Not tested</t>
        </is>
      </c>
      <c r="K5" t="inlineStr">
        <is>
          <t>— Not tested</t>
        </is>
      </c>
      <c r="L5" t="inlineStr">
        <is>
          <t>— Not tested</t>
        </is>
      </c>
    </row>
    <row r="6">
      <c r="A6" t="n">
        <v>5</v>
      </c>
      <c r="B6" t="inlineStr">
        <is>
          <t>1 — Strategies</t>
        </is>
      </c>
      <c r="C6" t="n">
        <v>1</v>
      </c>
      <c r="D6" t="inlineStr">
        <is>
          <t>Strategy Bank — Access &amp; Shell</t>
        </is>
      </c>
      <c r="E6" t="inlineStr">
        <is>
          <t>Structure</t>
        </is>
      </c>
      <c r="F6" t="inlineStr">
        <is>
          <t>P2</t>
        </is>
      </c>
      <c r="G6" t="inlineStr">
        <is>
          <t>Zoom browser 90% and 110%.</t>
        </is>
      </c>
      <c r="H6" t="inlineStr">
        <is>
          <t>—</t>
        </is>
      </c>
      <c r="I6" t="inlineStr">
        <is>
          <t>Cards/rows remain readable; no broken dropdowns.</t>
        </is>
      </c>
      <c r="J6" t="inlineStr">
        <is>
          <t>— Not tested</t>
        </is>
      </c>
      <c r="K6" t="inlineStr">
        <is>
          <t>— Not tested</t>
        </is>
      </c>
      <c r="L6" t="inlineStr">
        <is>
          <t>— Not tested</t>
        </is>
      </c>
    </row>
    <row r="7">
      <c r="A7" t="n">
        <v>6</v>
      </c>
      <c r="B7" t="inlineStr">
        <is>
          <t>1 — Strategies</t>
        </is>
      </c>
      <c r="C7" t="n">
        <v>2</v>
      </c>
      <c r="D7" t="inlineStr">
        <is>
          <t>Strategy Bank — Controls &amp; Empty States</t>
        </is>
      </c>
      <c r="E7" t="inlineStr">
        <is>
          <t>Normal</t>
        </is>
      </c>
      <c r="F7" t="inlineStr">
        <is>
          <t>P0</t>
        </is>
      </c>
      <c r="G7" t="inlineStr">
        <is>
          <t>Click Build Strategy.</t>
        </is>
      </c>
      <c r="H7" t="inlineStr">
        <is>
          <t>—</t>
        </is>
      </c>
      <c r="I7" t="inlineStr">
        <is>
          <t>Template picker OR builder opens.</t>
        </is>
      </c>
      <c r="J7" t="inlineStr">
        <is>
          <t>— Not tested</t>
        </is>
      </c>
      <c r="K7" t="inlineStr">
        <is>
          <t>— Not tested</t>
        </is>
      </c>
      <c r="L7" t="inlineStr">
        <is>
          <t>— Not tested</t>
        </is>
      </c>
    </row>
    <row r="8">
      <c r="A8" t="n">
        <v>7</v>
      </c>
      <c r="B8" t="inlineStr">
        <is>
          <t>1 — Strategies</t>
        </is>
      </c>
      <c r="C8" t="n">
        <v>2</v>
      </c>
      <c r="D8" t="inlineStr">
        <is>
          <t>Strategy Bank — Controls &amp; Empty States</t>
        </is>
      </c>
      <c r="E8" t="inlineStr">
        <is>
          <t>Normal</t>
        </is>
      </c>
      <c r="F8" t="inlineStr">
        <is>
          <t>P1</t>
        </is>
      </c>
      <c r="G8" t="inlineStr">
        <is>
          <t>Toggle Cards view.</t>
        </is>
      </c>
      <c r="H8" t="inlineStr">
        <is>
          <t>—</t>
        </is>
      </c>
      <c r="I8" t="inlineStr">
        <is>
          <t>Grid of cards with consistent height.</t>
        </is>
      </c>
      <c r="J8" t="inlineStr">
        <is>
          <t>— Not tested</t>
        </is>
      </c>
      <c r="K8" t="inlineStr">
        <is>
          <t>— Not tested</t>
        </is>
      </c>
      <c r="L8" t="inlineStr">
        <is>
          <t>— Not tested</t>
        </is>
      </c>
    </row>
    <row r="9">
      <c r="A9" t="n">
        <v>8</v>
      </c>
      <c r="B9" t="inlineStr">
        <is>
          <t>1 — Strategies</t>
        </is>
      </c>
      <c r="C9" t="n">
        <v>2</v>
      </c>
      <c r="D9" t="inlineStr">
        <is>
          <t>Strategy Bank — Controls &amp; Empty States</t>
        </is>
      </c>
      <c r="E9" t="inlineStr">
        <is>
          <t>Normal</t>
        </is>
      </c>
      <c r="F9" t="inlineStr">
        <is>
          <t>P1</t>
        </is>
      </c>
      <c r="G9" t="inlineStr">
        <is>
          <t>Toggle Rows view.</t>
        </is>
      </c>
      <c r="H9" t="inlineStr">
        <is>
          <t>—</t>
        </is>
      </c>
      <c r="I9" t="inlineStr">
        <is>
          <t>Table rows align; columns readable.</t>
        </is>
      </c>
      <c r="J9" t="inlineStr">
        <is>
          <t>— Not tested</t>
        </is>
      </c>
      <c r="K9" t="inlineStr">
        <is>
          <t>— Not tested</t>
        </is>
      </c>
      <c r="L9" t="inlineStr">
        <is>
          <t>— Not tested</t>
        </is>
      </c>
    </row>
    <row r="10">
      <c r="A10" t="n">
        <v>9</v>
      </c>
      <c r="B10" t="inlineStr">
        <is>
          <t>1 — Strategies</t>
        </is>
      </c>
      <c r="C10" t="n">
        <v>2</v>
      </c>
      <c r="D10" t="inlineStr">
        <is>
          <t>Strategy Bank — Controls &amp; Empty States</t>
        </is>
      </c>
      <c r="E10" t="inlineStr">
        <is>
          <t>Normal</t>
        </is>
      </c>
      <c r="F10" t="inlineStr">
        <is>
          <t>P1</t>
        </is>
      </c>
      <c r="G10" t="inlineStr">
        <is>
          <t>Search partial strategy name.</t>
        </is>
      </c>
      <c r="H10" t="inlineStr">
        <is>
          <t>e.g. 'mom'</t>
        </is>
      </c>
      <c r="I10" t="inlineStr">
        <is>
          <t>Only matching strategies shown.</t>
        </is>
      </c>
      <c r="J10" t="inlineStr">
        <is>
          <t>— Not tested</t>
        </is>
      </c>
      <c r="K10" t="inlineStr">
        <is>
          <t>— Not tested</t>
        </is>
      </c>
      <c r="L10" t="inlineStr">
        <is>
          <t>— Not tested</t>
        </is>
      </c>
    </row>
    <row r="11">
      <c r="A11" t="n">
        <v>10</v>
      </c>
      <c r="B11" t="inlineStr">
        <is>
          <t>1 — Strategies</t>
        </is>
      </c>
      <c r="C11" t="n">
        <v>2</v>
      </c>
      <c r="D11" t="inlineStr">
        <is>
          <t>Strategy Bank — Controls &amp; Empty States</t>
        </is>
      </c>
      <c r="E11" t="inlineStr">
        <is>
          <t>Normal</t>
        </is>
      </c>
      <c r="F11" t="inlineStr">
        <is>
          <t>P1</t>
        </is>
      </c>
      <c r="G11" t="inlineStr">
        <is>
          <t>Search by tag text.</t>
        </is>
      </c>
      <c r="H11" t="inlineStr">
        <is>
          <t>e.g. 'Scalping'</t>
        </is>
      </c>
      <c r="I11" t="inlineStr">
        <is>
          <t>Strategies with that tag appear.</t>
        </is>
      </c>
      <c r="J11" t="inlineStr">
        <is>
          <t>— Not tested</t>
        </is>
      </c>
      <c r="K11" t="inlineStr">
        <is>
          <t>— Not tested</t>
        </is>
      </c>
      <c r="L11" t="inlineStr">
        <is>
          <t>— Not tested</t>
        </is>
      </c>
    </row>
    <row r="12">
      <c r="A12" t="n">
        <v>11</v>
      </c>
      <c r="B12" t="inlineStr">
        <is>
          <t>1 — Strategies</t>
        </is>
      </c>
      <c r="C12" t="n">
        <v>2</v>
      </c>
      <c r="D12" t="inlineStr">
        <is>
          <t>Strategy Bank — Controls &amp; Empty States</t>
        </is>
      </c>
      <c r="E12" t="inlineStr">
        <is>
          <t>Normal</t>
        </is>
      </c>
      <c r="F12" t="inlineStr">
        <is>
          <t>P1</t>
        </is>
      </c>
      <c r="G12" t="inlineStr">
        <is>
          <t>Search gibberish.</t>
        </is>
      </c>
      <c r="H12" t="inlineStr">
        <is>
          <t>zzzznotfound</t>
        </is>
      </c>
      <c r="I12" t="inlineStr">
        <is>
          <t>Empty/no-match message; no crash.</t>
        </is>
      </c>
      <c r="J12" t="inlineStr">
        <is>
          <t>— Not tested</t>
        </is>
      </c>
      <c r="K12" t="inlineStr">
        <is>
          <t>— Not tested</t>
        </is>
      </c>
      <c r="L12" t="inlineStr">
        <is>
          <t>— Not tested</t>
        </is>
      </c>
    </row>
    <row r="13">
      <c r="A13" t="n">
        <v>12</v>
      </c>
      <c r="B13" t="inlineStr">
        <is>
          <t>1 — Strategies</t>
        </is>
      </c>
      <c r="C13" t="n">
        <v>2</v>
      </c>
      <c r="D13" t="inlineStr">
        <is>
          <t>Strategy Bank — Controls &amp; Empty States</t>
        </is>
      </c>
      <c r="E13" t="inlineStr">
        <is>
          <t>Normal</t>
        </is>
      </c>
      <c r="F13" t="inlineStr">
        <is>
          <t>P2</t>
        </is>
      </c>
      <c r="G13" t="inlineStr">
        <is>
          <t>Clear search with ×.</t>
        </is>
      </c>
      <c r="H13" t="inlineStr">
        <is>
          <t>—</t>
        </is>
      </c>
      <c r="I13" t="inlineStr">
        <is>
          <t>Full list restored.</t>
        </is>
      </c>
      <c r="J13" t="inlineStr">
        <is>
          <t>— Not tested</t>
        </is>
      </c>
      <c r="K13" t="inlineStr">
        <is>
          <t>— Not tested</t>
        </is>
      </c>
      <c r="L13" t="inlineStr">
        <is>
          <t>— Not tested</t>
        </is>
      </c>
    </row>
    <row r="14">
      <c r="A14" t="n">
        <v>13</v>
      </c>
      <c r="B14" t="inlineStr">
        <is>
          <t>1 — Strategies</t>
        </is>
      </c>
      <c r="C14" t="n">
        <v>2</v>
      </c>
      <c r="D14" t="inlineStr">
        <is>
          <t>Strategy Bank — Controls &amp; Empty States</t>
        </is>
      </c>
      <c r="E14" t="inlineStr">
        <is>
          <t>Edge</t>
        </is>
      </c>
      <c r="F14" t="inlineStr">
        <is>
          <t>P2</t>
        </is>
      </c>
      <c r="G14" t="inlineStr">
        <is>
          <t>Search with 1 character.</t>
        </is>
      </c>
      <c r="H14" t="inlineStr">
        <is>
          <t>a</t>
        </is>
      </c>
      <c r="I14" t="inlineStr">
        <is>
          <t>Filter applies or shows all if too short.</t>
        </is>
      </c>
      <c r="J14" t="inlineStr">
        <is>
          <t>— Not tested</t>
        </is>
      </c>
      <c r="K14" t="inlineStr">
        <is>
          <t>— Not tested</t>
        </is>
      </c>
      <c r="L14" t="inlineStr">
        <is>
          <t>— Not tested</t>
        </is>
      </c>
    </row>
    <row r="15">
      <c r="A15" t="n">
        <v>14</v>
      </c>
      <c r="B15" t="inlineStr">
        <is>
          <t>1 — Strategies</t>
        </is>
      </c>
      <c r="C15" t="n">
        <v>2</v>
      </c>
      <c r="D15" t="inlineStr">
        <is>
          <t>Strategy Bank — Controls &amp; Empty States</t>
        </is>
      </c>
      <c r="E15" t="inlineStr">
        <is>
          <t>Edge</t>
        </is>
      </c>
      <c r="F15" t="inlineStr">
        <is>
          <t>P2</t>
        </is>
      </c>
      <c r="G15" t="inlineStr">
        <is>
          <t>Search with 100+ characters.</t>
        </is>
      </c>
      <c r="H15" t="inlineStr">
        <is>
          <t>long string</t>
        </is>
      </c>
      <c r="I15" t="inlineStr">
        <is>
          <t>Input capped or handled; no freeze.</t>
        </is>
      </c>
      <c r="J15" t="inlineStr">
        <is>
          <t>— Not tested</t>
        </is>
      </c>
      <c r="K15" t="inlineStr">
        <is>
          <t>— Not tested</t>
        </is>
      </c>
      <c r="L15" t="inlineStr">
        <is>
          <t>— Not tested</t>
        </is>
      </c>
    </row>
    <row r="16">
      <c r="A16" t="n">
        <v>15</v>
      </c>
      <c r="B16" t="inlineStr">
        <is>
          <t>1 — Strategies</t>
        </is>
      </c>
      <c r="C16" t="n">
        <v>2</v>
      </c>
      <c r="D16" t="inlineStr">
        <is>
          <t>Strategy Bank — Controls &amp; Empty States</t>
        </is>
      </c>
      <c r="E16" t="inlineStr">
        <is>
          <t>Edge</t>
        </is>
      </c>
      <c r="F16" t="inlineStr">
        <is>
          <t>P0</t>
        </is>
      </c>
      <c r="G16" t="inlineStr">
        <is>
          <t>Search special characters.</t>
        </is>
      </c>
      <c r="H16" t="inlineStr">
        <is>
          <t>&lt;script&gt;, ', "</t>
        </is>
      </c>
      <c r="I16" t="inlineStr">
        <is>
          <t>No script execution; safe display.</t>
        </is>
      </c>
      <c r="J16" t="inlineStr">
        <is>
          <t>— Not tested</t>
        </is>
      </c>
      <c r="K16" t="inlineStr">
        <is>
          <t>— Not tested</t>
        </is>
      </c>
      <c r="L16" t="inlineStr">
        <is>
          <t>— Not tested</t>
        </is>
      </c>
    </row>
    <row r="17">
      <c r="A17" t="n">
        <v>16</v>
      </c>
      <c r="B17" t="inlineStr">
        <is>
          <t>1 — Strategies</t>
        </is>
      </c>
      <c r="C17" t="n">
        <v>2</v>
      </c>
      <c r="D17" t="inlineStr">
        <is>
          <t>Strategy Bank — Controls &amp; Empty States</t>
        </is>
      </c>
      <c r="E17" t="inlineStr">
        <is>
          <t>Edge</t>
        </is>
      </c>
      <c r="F17" t="inlineStr">
        <is>
          <t>P2</t>
        </is>
      </c>
      <c r="G17" t="inlineStr">
        <is>
          <t>Search Arabic/Unicode.</t>
        </is>
      </c>
      <c r="H17" t="inlineStr">
        <is>
          <t>استراتيجية</t>
        </is>
      </c>
      <c r="I17" t="inlineStr">
        <is>
          <t>Filter works or safely shows none.</t>
        </is>
      </c>
      <c r="J17" t="inlineStr">
        <is>
          <t>— Not tested</t>
        </is>
      </c>
      <c r="K17" t="inlineStr">
        <is>
          <t>— Not tested</t>
        </is>
      </c>
      <c r="L17" t="inlineStr">
        <is>
          <t>— Not tested</t>
        </is>
      </c>
    </row>
    <row r="18">
      <c r="A18" t="n">
        <v>17</v>
      </c>
      <c r="B18" t="inlineStr">
        <is>
          <t>1 — Strategies</t>
        </is>
      </c>
      <c r="C18" t="n">
        <v>2</v>
      </c>
      <c r="D18" t="inlineStr">
        <is>
          <t>Strategy Bank — Controls &amp; Empty States</t>
        </is>
      </c>
      <c r="E18" t="inlineStr">
        <is>
          <t>Edge</t>
        </is>
      </c>
      <c r="F18" t="inlineStr">
        <is>
          <t>P2</t>
        </is>
      </c>
      <c r="G18" t="inlineStr">
        <is>
          <t>Rapidly toggle Cards ↔ Rows 10 times.</t>
        </is>
      </c>
      <c r="H18" t="inlineStr">
        <is>
          <t>—</t>
        </is>
      </c>
      <c r="I18" t="inlineStr">
        <is>
          <t>No duplicate cards or layout break.</t>
        </is>
      </c>
      <c r="J18" t="inlineStr">
        <is>
          <t>— Not tested</t>
        </is>
      </c>
      <c r="K18" t="inlineStr">
        <is>
          <t>— Not tested</t>
        </is>
      </c>
      <c r="L18" t="inlineStr">
        <is>
          <t>— Not tested</t>
        </is>
      </c>
    </row>
    <row r="19">
      <c r="A19" t="n">
        <v>18</v>
      </c>
      <c r="B19" t="inlineStr">
        <is>
          <t>1 — Strategies</t>
        </is>
      </c>
      <c r="C19" t="n">
        <v>3</v>
      </c>
      <c r="D19" t="inlineStr">
        <is>
          <t>Strategy Bank — Card/Row Content &amp; Visuals</t>
        </is>
      </c>
      <c r="E19" t="inlineStr">
        <is>
          <t>Structure</t>
        </is>
      </c>
      <c r="F19" t="inlineStr">
        <is>
          <t>P1</t>
        </is>
      </c>
      <c r="G19" t="inlineStr">
        <is>
          <t>Verify card shows: icon/emoji, name, description snippet.</t>
        </is>
      </c>
      <c r="H19" t="inlineStr">
        <is>
          <t>—</t>
        </is>
      </c>
      <c r="I19" t="inlineStr">
        <is>
          <t>All zones render.</t>
        </is>
      </c>
      <c r="J19" t="inlineStr">
        <is>
          <t>— Not tested</t>
        </is>
      </c>
      <c r="K19" t="inlineStr">
        <is>
          <t>— Not tested</t>
        </is>
      </c>
      <c r="L19" t="inlineStr">
        <is>
          <t>— Not tested</t>
        </is>
      </c>
    </row>
    <row r="20">
      <c r="A20" t="n">
        <v>19</v>
      </c>
      <c r="B20" t="inlineStr">
        <is>
          <t>1 — Strategies</t>
        </is>
      </c>
      <c r="C20" t="n">
        <v>3</v>
      </c>
      <c r="D20" t="inlineStr">
        <is>
          <t>Strategy Bank — Card/Row Content &amp; Visuals</t>
        </is>
      </c>
      <c r="E20" t="inlineStr">
        <is>
          <t>Structure</t>
        </is>
      </c>
      <c r="F20" t="inlineStr">
        <is>
          <t>P1</t>
        </is>
      </c>
      <c r="G20" t="inlineStr">
        <is>
          <t>Verify markets, timeframes, tags pills.</t>
        </is>
      </c>
      <c r="H20" t="inlineStr">
        <is>
          <t>—</t>
        </is>
      </c>
      <c r="I20" t="inlineStr">
        <is>
          <t>Pills truncate gracefully if many.</t>
        </is>
      </c>
      <c r="J20" t="inlineStr">
        <is>
          <t>— Not tested</t>
        </is>
      </c>
      <c r="K20" t="inlineStr">
        <is>
          <t>— Not tested</t>
        </is>
      </c>
      <c r="L20" t="inlineStr">
        <is>
          <t>— Not tested</t>
        </is>
      </c>
    </row>
    <row r="21">
      <c r="A21" t="n">
        <v>20</v>
      </c>
      <c r="B21" t="inlineStr">
        <is>
          <t>1 — Strategies</t>
        </is>
      </c>
      <c r="C21" t="n">
        <v>3</v>
      </c>
      <c r="D21" t="inlineStr">
        <is>
          <t>Strategy Bank — Card/Row Content &amp; Visuals</t>
        </is>
      </c>
      <c r="E21" t="inlineStr">
        <is>
          <t>Structure</t>
        </is>
      </c>
      <c r="F21" t="inlineStr">
        <is>
          <t>P1</t>
        </is>
      </c>
      <c r="G21" t="inlineStr">
        <is>
          <t>Verify backtest metrics: sessions, P&amp;L, win rate.</t>
        </is>
      </c>
      <c r="H21" t="inlineStr">
        <is>
          <t>—</t>
        </is>
      </c>
      <c r="I21" t="inlineStr">
        <is>
          <t>Numbers or em-dash when N/A.</t>
        </is>
      </c>
      <c r="J21" t="inlineStr">
        <is>
          <t>— Not tested</t>
        </is>
      </c>
      <c r="K21" t="inlineStr">
        <is>
          <t>— Not tested</t>
        </is>
      </c>
      <c r="L21" t="inlineStr">
        <is>
          <t>— Not tested</t>
        </is>
      </c>
    </row>
    <row r="22">
      <c r="A22" t="n">
        <v>21</v>
      </c>
      <c r="B22" t="inlineStr">
        <is>
          <t>1 — Strategies</t>
        </is>
      </c>
      <c r="C22" t="n">
        <v>3</v>
      </c>
      <c r="D22" t="inlineStr">
        <is>
          <t>Strategy Bank — Card/Row Content &amp; Visuals</t>
        </is>
      </c>
      <c r="E22" t="inlineStr">
        <is>
          <t>Structure</t>
        </is>
      </c>
      <c r="F22" t="inlineStr">
        <is>
          <t>P2</t>
        </is>
      </c>
      <c r="G22" t="inlineStr">
        <is>
          <t>Hover card.</t>
        </is>
      </c>
      <c r="H22" t="inlineStr">
        <is>
          <t>—</t>
        </is>
      </c>
      <c r="I22" t="inlineStr">
        <is>
          <t>Border/shadow highlight.</t>
        </is>
      </c>
      <c r="J22" t="inlineStr">
        <is>
          <t>— Not tested</t>
        </is>
      </c>
      <c r="K22" t="inlineStr">
        <is>
          <t>— Not tested</t>
        </is>
      </c>
      <c r="L22" t="inlineStr">
        <is>
          <t>— Not tested</t>
        </is>
      </c>
    </row>
    <row r="23">
      <c r="A23" t="n">
        <v>22</v>
      </c>
      <c r="B23" t="inlineStr">
        <is>
          <t>1 — Strategies</t>
        </is>
      </c>
      <c r="C23" t="n">
        <v>3</v>
      </c>
      <c r="D23" t="inlineStr">
        <is>
          <t>Strategy Bank — Card/Row Content &amp; Visuals</t>
        </is>
      </c>
      <c r="E23" t="inlineStr">
        <is>
          <t>Structure</t>
        </is>
      </c>
      <c r="F23" t="inlineStr">
        <is>
          <t>P1</t>
        </is>
      </c>
      <c r="G23" t="inlineStr">
        <is>
          <t>Compare card at min vs max content (long name, 10 tags).</t>
        </is>
      </c>
      <c r="H23" t="inlineStr">
        <is>
          <t>2 strategies</t>
        </is>
      </c>
      <c r="I23" t="inlineStr">
        <is>
          <t>No overflow breaking card height (342px).</t>
        </is>
      </c>
      <c r="J23" t="inlineStr">
        <is>
          <t>— Not tested</t>
        </is>
      </c>
      <c r="K23" t="inlineStr">
        <is>
          <t>— Not tested</t>
        </is>
      </c>
      <c r="L23" t="inlineStr">
        <is>
          <t>— Not tested</t>
        </is>
      </c>
    </row>
    <row r="24">
      <c r="A24" t="n">
        <v>23</v>
      </c>
      <c r="B24" t="inlineStr">
        <is>
          <t>1 — Strategies</t>
        </is>
      </c>
      <c r="C24" t="n">
        <v>3</v>
      </c>
      <c r="D24" t="inlineStr">
        <is>
          <t>Strategy Bank — Card/Row Content &amp; Visuals</t>
        </is>
      </c>
      <c r="E24" t="inlineStr">
        <is>
          <t>Logic</t>
        </is>
      </c>
      <c r="F24" t="inlineStr">
        <is>
          <t>P0</t>
        </is>
      </c>
      <c r="G24" t="inlineStr">
        <is>
          <t>Double-click owned strategy.</t>
        </is>
      </c>
      <c r="H24" t="inlineStr">
        <is>
          <t>—</t>
        </is>
      </c>
      <c r="I24" t="inlineStr">
        <is>
          <t>Edit builder opens with data.</t>
        </is>
      </c>
      <c r="J24" t="inlineStr">
        <is>
          <t>— Not tested</t>
        </is>
      </c>
      <c r="K24" t="inlineStr">
        <is>
          <t>— Not tested</t>
        </is>
      </c>
      <c r="L24" t="inlineStr">
        <is>
          <t>— Not tested</t>
        </is>
      </c>
    </row>
    <row r="25">
      <c r="A25" t="n">
        <v>24</v>
      </c>
      <c r="B25" t="inlineStr">
        <is>
          <t>1 — Strategies</t>
        </is>
      </c>
      <c r="C25" t="n">
        <v>3</v>
      </c>
      <c r="D25" t="inlineStr">
        <is>
          <t>Strategy Bank — Card/Row Content &amp; Visuals</t>
        </is>
      </c>
      <c r="E25" t="inlineStr">
        <is>
          <t>Logic</t>
        </is>
      </c>
      <c r="F25" t="inlineStr">
        <is>
          <t>P0</t>
        </is>
      </c>
      <c r="G25" t="inlineStr">
        <is>
          <t>Open ⋯ menu → New Session.</t>
        </is>
      </c>
      <c r="H25" t="inlineStr">
        <is>
          <t>—</t>
        </is>
      </c>
      <c r="I25" t="inlineStr">
        <is>
          <t>Session modal; strategy pre-linked.</t>
        </is>
      </c>
      <c r="J25" t="inlineStr">
        <is>
          <t>— Not tested</t>
        </is>
      </c>
      <c r="K25" t="inlineStr">
        <is>
          <t>— Not tested</t>
        </is>
      </c>
      <c r="L25" t="inlineStr">
        <is>
          <t>— Not tested</t>
        </is>
      </c>
    </row>
    <row r="26">
      <c r="A26" t="n">
        <v>25</v>
      </c>
      <c r="B26" t="inlineStr">
        <is>
          <t>1 — Strategies</t>
        </is>
      </c>
      <c r="C26" t="n">
        <v>3</v>
      </c>
      <c r="D26" t="inlineStr">
        <is>
          <t>Strategy Bank — Card/Row Content &amp; Visuals</t>
        </is>
      </c>
      <c r="E26" t="inlineStr">
        <is>
          <t>Logic</t>
        </is>
      </c>
      <c r="F26" t="inlineStr">
        <is>
          <t>P1</t>
        </is>
      </c>
      <c r="G26" t="inlineStr">
        <is>
          <t>Open ⋯ → Dashboard.</t>
        </is>
      </c>
      <c r="H26" t="inlineStr">
        <is>
          <t>—</t>
        </is>
      </c>
      <c r="I26" t="inlineStr">
        <is>
          <t>Strategy performance view.</t>
        </is>
      </c>
      <c r="J26" t="inlineStr">
        <is>
          <t>— Not tested</t>
        </is>
      </c>
      <c r="K26" t="inlineStr">
        <is>
          <t>— Not tested</t>
        </is>
      </c>
      <c r="L26" t="inlineStr">
        <is>
          <t>— Not tested</t>
        </is>
      </c>
    </row>
    <row r="27">
      <c r="A27" t="n">
        <v>26</v>
      </c>
      <c r="B27" t="inlineStr">
        <is>
          <t>1 — Strategies</t>
        </is>
      </c>
      <c r="C27" t="n">
        <v>3</v>
      </c>
      <c r="D27" t="inlineStr">
        <is>
          <t>Strategy Bank — Card/Row Content &amp; Visuals</t>
        </is>
      </c>
      <c r="E27" t="inlineStr">
        <is>
          <t>Logic</t>
        </is>
      </c>
      <c r="F27" t="inlineStr">
        <is>
          <t>P0</t>
        </is>
      </c>
      <c r="G27" t="inlineStr">
        <is>
          <t>Open ⋯ → Edit.</t>
        </is>
      </c>
      <c r="H27" t="inlineStr">
        <is>
          <t>—</t>
        </is>
      </c>
      <c r="I27" t="inlineStr">
        <is>
          <t>Builder edit mode.</t>
        </is>
      </c>
      <c r="J27" t="inlineStr">
        <is>
          <t>— Not tested</t>
        </is>
      </c>
      <c r="K27" t="inlineStr">
        <is>
          <t>— Not tested</t>
        </is>
      </c>
      <c r="L27" t="inlineStr">
        <is>
          <t>— Not tested</t>
        </is>
      </c>
    </row>
    <row r="28">
      <c r="A28" t="n">
        <v>27</v>
      </c>
      <c r="B28" t="inlineStr">
        <is>
          <t>1 — Strategies</t>
        </is>
      </c>
      <c r="C28" t="n">
        <v>3</v>
      </c>
      <c r="D28" t="inlineStr">
        <is>
          <t>Strategy Bank — Card/Row Content &amp; Visuals</t>
        </is>
      </c>
      <c r="E28" t="inlineStr">
        <is>
          <t>Logic</t>
        </is>
      </c>
      <c r="F28" t="inlineStr">
        <is>
          <t>P1</t>
        </is>
      </c>
      <c r="G28" t="inlineStr">
        <is>
          <t>Open ⋯ → Copy.</t>
        </is>
      </c>
      <c r="H28" t="inlineStr">
        <is>
          <t>—</t>
        </is>
      </c>
      <c r="I28" t="inlineStr">
        <is>
          <t>Duplicate with (copy) suffix.</t>
        </is>
      </c>
      <c r="J28" t="inlineStr">
        <is>
          <t>— Not tested</t>
        </is>
      </c>
      <c r="K28" t="inlineStr">
        <is>
          <t>— Not tested</t>
        </is>
      </c>
      <c r="L28" t="inlineStr">
        <is>
          <t>— Not tested</t>
        </is>
      </c>
    </row>
    <row r="29">
      <c r="A29" t="n">
        <v>28</v>
      </c>
      <c r="B29" t="inlineStr">
        <is>
          <t>1 — Strategies</t>
        </is>
      </c>
      <c r="C29" t="n">
        <v>3</v>
      </c>
      <c r="D29" t="inlineStr">
        <is>
          <t>Strategy Bank — Card/Row Content &amp; Visuals</t>
        </is>
      </c>
      <c r="E29" t="inlineStr">
        <is>
          <t>Logic</t>
        </is>
      </c>
      <c r="F29" t="inlineStr">
        <is>
          <t>P1</t>
        </is>
      </c>
      <c r="G29" t="inlineStr">
        <is>
          <t>Open ⋯ → Delete → Cancel.</t>
        </is>
      </c>
      <c r="H29" t="inlineStr">
        <is>
          <t>—</t>
        </is>
      </c>
      <c r="I29" t="inlineStr">
        <is>
          <t>Strategy remains.</t>
        </is>
      </c>
      <c r="J29" t="inlineStr">
        <is>
          <t>— Not tested</t>
        </is>
      </c>
      <c r="K29" t="inlineStr">
        <is>
          <t>— Not tested</t>
        </is>
      </c>
      <c r="L29" t="inlineStr">
        <is>
          <t>— Not tested</t>
        </is>
      </c>
    </row>
    <row r="30">
      <c r="A30" t="n">
        <v>29</v>
      </c>
      <c r="B30" t="inlineStr">
        <is>
          <t>1 — Strategies</t>
        </is>
      </c>
      <c r="C30" t="n">
        <v>3</v>
      </c>
      <c r="D30" t="inlineStr">
        <is>
          <t>Strategy Bank — Card/Row Content &amp; Visuals</t>
        </is>
      </c>
      <c r="E30" t="inlineStr">
        <is>
          <t>Logic</t>
        </is>
      </c>
      <c r="F30" t="inlineStr">
        <is>
          <t>P1</t>
        </is>
      </c>
      <c r="G30" t="inlineStr">
        <is>
          <t>Open ⋯ → Delete → Confirm.</t>
        </is>
      </c>
      <c r="H30" t="inlineStr">
        <is>
          <t>—</t>
        </is>
      </c>
      <c r="I30" t="inlineStr">
        <is>
          <t>Strategy removed.</t>
        </is>
      </c>
      <c r="J30" t="inlineStr">
        <is>
          <t>— Not tested</t>
        </is>
      </c>
      <c r="K30" t="inlineStr">
        <is>
          <t>— Not tested</t>
        </is>
      </c>
      <c r="L30" t="inlineStr">
        <is>
          <t>— Not tested</t>
        </is>
      </c>
    </row>
    <row r="31">
      <c r="A31" t="n">
        <v>30</v>
      </c>
      <c r="B31" t="inlineStr">
        <is>
          <t>1 — Strategies</t>
        </is>
      </c>
      <c r="C31" t="n">
        <v>3</v>
      </c>
      <c r="D31" t="inlineStr">
        <is>
          <t>Strategy Bank — Card/Row Content &amp; Visuals</t>
        </is>
      </c>
      <c r="E31" t="inlineStr">
        <is>
          <t>Logic</t>
        </is>
      </c>
      <c r="F31" t="inlineStr">
        <is>
          <t>P1</t>
        </is>
      </c>
      <c r="G31" t="inlineStr">
        <is>
          <t>Repeat all ⋯ actions in Rows view.</t>
        </is>
      </c>
      <c r="H31" t="inlineStr">
        <is>
          <t>—</t>
        </is>
      </c>
      <c r="I31" t="inlineStr">
        <is>
          <t>Parity with Cards.</t>
        </is>
      </c>
      <c r="J31" t="inlineStr">
        <is>
          <t>— Not tested</t>
        </is>
      </c>
      <c r="K31" t="inlineStr">
        <is>
          <t>— Not tested</t>
        </is>
      </c>
      <c r="L31" t="inlineStr">
        <is>
          <t>— Not tested</t>
        </is>
      </c>
    </row>
    <row r="32">
      <c r="A32" t="n">
        <v>31</v>
      </c>
      <c r="B32" t="inlineStr">
        <is>
          <t>1 — Strategies</t>
        </is>
      </c>
      <c r="C32" t="n">
        <v>4</v>
      </c>
      <c r="D32" t="inlineStr">
        <is>
          <t>Template Picker</t>
        </is>
      </c>
      <c r="E32" t="inlineStr">
        <is>
          <t>Normal</t>
        </is>
      </c>
      <c r="F32" t="inlineStr">
        <is>
          <t>P1</t>
        </is>
      </c>
      <c r="G32" t="inlineStr">
        <is>
          <t>Build Strategy → pick each visible template one by one.</t>
        </is>
      </c>
      <c r="H32" t="inlineStr">
        <is>
          <t>all templates</t>
        </is>
      </c>
      <c r="I32" t="inlineStr">
        <is>
          <t>Each opens builder with distinct flow/groups.</t>
        </is>
      </c>
      <c r="J32" t="inlineStr">
        <is>
          <t>— Not tested</t>
        </is>
      </c>
      <c r="K32" t="inlineStr">
        <is>
          <t>— Not tested</t>
        </is>
      </c>
      <c r="L32" t="inlineStr">
        <is>
          <t>— Not tested</t>
        </is>
      </c>
    </row>
    <row r="33">
      <c r="A33" t="n">
        <v>32</v>
      </c>
      <c r="B33" t="inlineStr">
        <is>
          <t>1 — Strategies</t>
        </is>
      </c>
      <c r="C33" t="n">
        <v>4</v>
      </c>
      <c r="D33" t="inlineStr">
        <is>
          <t>Template Picker</t>
        </is>
      </c>
      <c r="E33" t="inlineStr">
        <is>
          <t>Normal</t>
        </is>
      </c>
      <c r="F33" t="inlineStr">
        <is>
          <t>P1</t>
        </is>
      </c>
      <c r="G33" t="inlineStr">
        <is>
          <t>Cancel template picker.</t>
        </is>
      </c>
      <c r="H33" t="inlineStr">
        <is>
          <t>—</t>
        </is>
      </c>
      <c r="I33" t="inlineStr">
        <is>
          <t>Returns to bank without new strategy.</t>
        </is>
      </c>
      <c r="J33" t="inlineStr">
        <is>
          <t>— Not tested</t>
        </is>
      </c>
      <c r="K33" t="inlineStr">
        <is>
          <t>— Not tested</t>
        </is>
      </c>
      <c r="L33" t="inlineStr">
        <is>
          <t>— Not tested</t>
        </is>
      </c>
    </row>
    <row r="34">
      <c r="A34" t="n">
        <v>33</v>
      </c>
      <c r="B34" t="inlineStr">
        <is>
          <t>1 — Strategies</t>
        </is>
      </c>
      <c r="C34" t="n">
        <v>4</v>
      </c>
      <c r="D34" t="inlineStr">
        <is>
          <t>Template Picker</t>
        </is>
      </c>
      <c r="E34" t="inlineStr">
        <is>
          <t>Normal</t>
        </is>
      </c>
      <c r="F34" t="inlineStr">
        <is>
          <t>P0</t>
        </is>
      </c>
      <c r="G34" t="inlineStr">
        <is>
          <t>Pick template → verify Step 2 canvas has groups/conditions.</t>
        </is>
      </c>
      <c r="H34" t="inlineStr">
        <is>
          <t>any template</t>
        </is>
      </c>
      <c r="I34" t="inlineStr">
        <is>
          <t>Pre-filled nodes visible.</t>
        </is>
      </c>
      <c r="J34" t="inlineStr">
        <is>
          <t>— Not tested</t>
        </is>
      </c>
      <c r="K34" t="inlineStr">
        <is>
          <t>— Not tested</t>
        </is>
      </c>
      <c r="L34" t="inlineStr">
        <is>
          <t>— Not tested</t>
        </is>
      </c>
    </row>
    <row r="35">
      <c r="A35" t="n">
        <v>34</v>
      </c>
      <c r="B35" t="inlineStr">
        <is>
          <t>1 — Strategies</t>
        </is>
      </c>
      <c r="C35" t="n">
        <v>4</v>
      </c>
      <c r="D35" t="inlineStr">
        <is>
          <t>Template Picker</t>
        </is>
      </c>
      <c r="E35" t="inlineStr">
        <is>
          <t>Edge</t>
        </is>
      </c>
      <c r="F35" t="inlineStr">
        <is>
          <t>P1</t>
        </is>
      </c>
      <c r="G35" t="inlineStr">
        <is>
          <t>Pick template → change name → save → verify not confused with template preview.</t>
        </is>
      </c>
      <c r="H35" t="inlineStr">
        <is>
          <t>—</t>
        </is>
      </c>
      <c r="I35" t="inlineStr">
        <is>
          <t>Saved as user strategy in My Strategies.</t>
        </is>
      </c>
      <c r="J35" t="inlineStr">
        <is>
          <t>— Not tested</t>
        </is>
      </c>
      <c r="K35" t="inlineStr">
        <is>
          <t>— Not tested</t>
        </is>
      </c>
      <c r="L35" t="inlineStr">
        <is>
          <t>— Not tested</t>
        </is>
      </c>
    </row>
    <row r="36">
      <c r="A36" t="n">
        <v>35</v>
      </c>
      <c r="B36" t="inlineStr">
        <is>
          <t>1 — Strategies</t>
        </is>
      </c>
      <c r="C36" t="n">
        <v>4</v>
      </c>
      <c r="D36" t="inlineStr">
        <is>
          <t>Template Picker</t>
        </is>
      </c>
      <c r="E36" t="inlineStr">
        <is>
          <t>Edge</t>
        </is>
      </c>
      <c r="F36" t="inlineStr">
        <is>
          <t>P2</t>
        </is>
      </c>
      <c r="G36" t="inlineStr">
        <is>
          <t>Re-open TEMPLATES from builder mid-edit.</t>
        </is>
      </c>
      <c r="H36" t="inlineStr">
        <is>
          <t>—</t>
        </is>
      </c>
      <c r="I36" t="inlineStr">
        <is>
          <t>Picker opens; confirm overwrite behavior if switching template.</t>
        </is>
      </c>
      <c r="J36" t="inlineStr">
        <is>
          <t>— Not tested</t>
        </is>
      </c>
      <c r="K36" t="inlineStr">
        <is>
          <t>— Not tested</t>
        </is>
      </c>
      <c r="L36" t="inlineStr">
        <is>
          <t>— Not tested</t>
        </is>
      </c>
    </row>
    <row r="37">
      <c r="A37" t="n">
        <v>36</v>
      </c>
      <c r="B37" t="inlineStr">
        <is>
          <t>1 — Strategies</t>
        </is>
      </c>
      <c r="C37" t="n">
        <v>5</v>
      </c>
      <c r="D37" t="inlineStr">
        <is>
          <t>Strategy Builder — Wizard Shell</t>
        </is>
      </c>
      <c r="E37" t="inlineStr">
        <is>
          <t>Structure</t>
        </is>
      </c>
      <c r="F37" t="inlineStr">
        <is>
          <t>P2</t>
        </is>
      </c>
      <c r="G37" t="inlineStr">
        <is>
          <t>Verify modal size ~1400px max width, ~90vh height.</t>
        </is>
      </c>
      <c r="H37" t="inlineStr">
        <is>
          <t>—</t>
        </is>
      </c>
      <c r="I37" t="inlineStr">
        <is>
          <t>Centered; scroll inside content.</t>
        </is>
      </c>
      <c r="J37" t="inlineStr">
        <is>
          <t>— Not tested</t>
        </is>
      </c>
      <c r="K37" t="inlineStr">
        <is>
          <t>— Not tested</t>
        </is>
      </c>
      <c r="L37" t="inlineStr">
        <is>
          <t>— Not tested</t>
        </is>
      </c>
    </row>
    <row r="38">
      <c r="A38" t="n">
        <v>37</v>
      </c>
      <c r="B38" t="inlineStr">
        <is>
          <t>1 — Strategies</t>
        </is>
      </c>
      <c r="C38" t="n">
        <v>5</v>
      </c>
      <c r="D38" t="inlineStr">
        <is>
          <t>Strategy Builder — Wizard Shell</t>
        </is>
      </c>
      <c r="E38" t="inlineStr">
        <is>
          <t>Structure</t>
        </is>
      </c>
      <c r="F38" t="inlineStr">
        <is>
          <t>P0</t>
        </is>
      </c>
      <c r="G38" t="inlineStr">
        <is>
          <t>Verify 4 step tabs with hints.</t>
        </is>
      </c>
      <c r="H38" t="inlineStr">
        <is>
          <t>—</t>
        </is>
      </c>
      <c r="I38" t="inlineStr">
        <is>
          <t>General Info, Strategy Flow, Trade Tags, Review.</t>
        </is>
      </c>
      <c r="J38" t="inlineStr">
        <is>
          <t>— Not tested</t>
        </is>
      </c>
      <c r="K38" t="inlineStr">
        <is>
          <t>— Not tested</t>
        </is>
      </c>
      <c r="L38" t="inlineStr">
        <is>
          <t>— Not tested</t>
        </is>
      </c>
    </row>
    <row r="39">
      <c r="A39" t="n">
        <v>38</v>
      </c>
      <c r="B39" t="inlineStr">
        <is>
          <t>1 — Strategies</t>
        </is>
      </c>
      <c r="C39" t="n">
        <v>5</v>
      </c>
      <c r="D39" t="inlineStr">
        <is>
          <t>Strategy Builder — Wizard Shell</t>
        </is>
      </c>
      <c r="E39" t="inlineStr">
        <is>
          <t>Structure</t>
        </is>
      </c>
      <c r="F39" t="inlineStr">
        <is>
          <t>P0</t>
        </is>
      </c>
      <c r="G39" t="inlineStr">
        <is>
          <t>Verify footer: Back, Next, Save Strategy (step 4).</t>
        </is>
      </c>
      <c r="H39" t="inlineStr">
        <is>
          <t>—</t>
        </is>
      </c>
      <c r="I39" t="inlineStr">
        <is>
          <t>Buttons visible per step.</t>
        </is>
      </c>
      <c r="J39" t="inlineStr">
        <is>
          <t>— Not tested</t>
        </is>
      </c>
      <c r="K39" t="inlineStr">
        <is>
          <t>— Not tested</t>
        </is>
      </c>
      <c r="L39" t="inlineStr">
        <is>
          <t>— Not tested</t>
        </is>
      </c>
    </row>
    <row r="40">
      <c r="A40" t="n">
        <v>39</v>
      </c>
      <c r="B40" t="inlineStr">
        <is>
          <t>1 — Strategies</t>
        </is>
      </c>
      <c r="C40" t="n">
        <v>5</v>
      </c>
      <c r="D40" t="inlineStr">
        <is>
          <t>Strategy Builder — Wizard Shell</t>
        </is>
      </c>
      <c r="E40" t="inlineStr">
        <is>
          <t>Structure</t>
        </is>
      </c>
      <c r="F40" t="inlineStr">
        <is>
          <t>P1</t>
        </is>
      </c>
      <c r="G40" t="inlineStr">
        <is>
          <t>Click × close.</t>
        </is>
      </c>
      <c r="H40" t="inlineStr">
        <is>
          <t>—</t>
        </is>
      </c>
      <c r="I40" t="inlineStr">
        <is>
          <t>Modal closes.</t>
        </is>
      </c>
      <c r="J40" t="inlineStr">
        <is>
          <t>— Not tested</t>
        </is>
      </c>
      <c r="K40" t="inlineStr">
        <is>
          <t>— Not tested</t>
        </is>
      </c>
      <c r="L40" t="inlineStr">
        <is>
          <t>— Not tested</t>
        </is>
      </c>
    </row>
    <row r="41">
      <c r="A41" t="n">
        <v>40</v>
      </c>
      <c r="B41" t="inlineStr">
        <is>
          <t>1 — Strategies</t>
        </is>
      </c>
      <c r="C41" t="n">
        <v>5</v>
      </c>
      <c r="D41" t="inlineStr">
        <is>
          <t>Strategy Builder — Wizard Shell</t>
        </is>
      </c>
      <c r="E41" t="inlineStr">
        <is>
          <t>Structure</t>
        </is>
      </c>
      <c r="F41" t="inlineStr">
        <is>
          <t>P2</t>
        </is>
      </c>
      <c r="G41" t="inlineStr">
        <is>
          <t>Click dark backdrop.</t>
        </is>
      </c>
      <c r="H41" t="inlineStr">
        <is>
          <t>—</t>
        </is>
      </c>
      <c r="I41" t="inlineStr">
        <is>
          <t>Modal stays open (backdrop ignored).</t>
        </is>
      </c>
      <c r="J41" t="inlineStr">
        <is>
          <t>— Not tested</t>
        </is>
      </c>
      <c r="K41" t="inlineStr">
        <is>
          <t>— Not tested</t>
        </is>
      </c>
      <c r="L41" t="inlineStr">
        <is>
          <t>— Not tested</t>
        </is>
      </c>
    </row>
    <row r="42">
      <c r="A42" t="n">
        <v>41</v>
      </c>
      <c r="B42" t="inlineStr">
        <is>
          <t>1 — Strategies</t>
        </is>
      </c>
      <c r="C42" t="n">
        <v>5</v>
      </c>
      <c r="D42" t="inlineStr">
        <is>
          <t>Strategy Builder — Wizard Shell</t>
        </is>
      </c>
      <c r="E42" t="inlineStr">
        <is>
          <t>Logic</t>
        </is>
      </c>
      <c r="F42" t="inlineStr">
        <is>
          <t>P0</t>
        </is>
      </c>
      <c r="G42" t="inlineStr">
        <is>
          <t>Step 1 empty → click Next.</t>
        </is>
      </c>
      <c r="H42" t="inlineStr">
        <is>
          <t>—</t>
        </is>
      </c>
      <c r="I42" t="inlineStr">
        <is>
          <t>Blocked; red hints: name, markets, timeframes.</t>
        </is>
      </c>
      <c r="J42" t="inlineStr">
        <is>
          <t>— Not tested</t>
        </is>
      </c>
      <c r="K42" t="inlineStr">
        <is>
          <t>— Not tested</t>
        </is>
      </c>
      <c r="L42" t="inlineStr">
        <is>
          <t>— Not tested</t>
        </is>
      </c>
    </row>
    <row r="43">
      <c r="A43" t="n">
        <v>42</v>
      </c>
      <c r="B43" t="inlineStr">
        <is>
          <t>1 — Strategies</t>
        </is>
      </c>
      <c r="C43" t="n">
        <v>5</v>
      </c>
      <c r="D43" t="inlineStr">
        <is>
          <t>Strategy Builder — Wizard Shell</t>
        </is>
      </c>
      <c r="E43" t="inlineStr">
        <is>
          <t>Logic</t>
        </is>
      </c>
      <c r="F43" t="inlineStr">
        <is>
          <t>P1</t>
        </is>
      </c>
      <c r="G43" t="inlineStr">
        <is>
          <t>Step 1 valid → jump to Step 4 tab.</t>
        </is>
      </c>
      <c r="H43" t="inlineStr">
        <is>
          <t>—</t>
        </is>
      </c>
      <c r="I43" t="inlineStr">
        <is>
          <t>Allowed when step 1 complete.</t>
        </is>
      </c>
      <c r="J43" t="inlineStr">
        <is>
          <t>— Not tested</t>
        </is>
      </c>
      <c r="K43" t="inlineStr">
        <is>
          <t>— Not tested</t>
        </is>
      </c>
      <c r="L43" t="inlineStr">
        <is>
          <t>— Not tested</t>
        </is>
      </c>
    </row>
    <row r="44">
      <c r="A44" t="n">
        <v>43</v>
      </c>
      <c r="B44" t="inlineStr">
        <is>
          <t>1 — Strategies</t>
        </is>
      </c>
      <c r="C44" t="n">
        <v>5</v>
      </c>
      <c r="D44" t="inlineStr">
        <is>
          <t>Strategy Builder — Wizard Shell</t>
        </is>
      </c>
      <c r="E44" t="inlineStr">
        <is>
          <t>Logic</t>
        </is>
      </c>
      <c r="F44" t="inlineStr">
        <is>
          <t>P0</t>
        </is>
      </c>
      <c r="G44" t="inlineStr">
        <is>
          <t>Step 1 invalid → click Step 3 tab.</t>
        </is>
      </c>
      <c r="H44" t="inlineStr">
        <is>
          <t>—</t>
        </is>
      </c>
      <c r="I44" t="inlineStr">
        <is>
          <t>Forced back to Step 1.</t>
        </is>
      </c>
      <c r="J44" t="inlineStr">
        <is>
          <t>— Not tested</t>
        </is>
      </c>
      <c r="K44" t="inlineStr">
        <is>
          <t>— Not tested</t>
        </is>
      </c>
      <c r="L44" t="inlineStr">
        <is>
          <t>— Not tested</t>
        </is>
      </c>
    </row>
    <row r="45">
      <c r="A45" t="n">
        <v>44</v>
      </c>
      <c r="B45" t="inlineStr">
        <is>
          <t>1 — Strategies</t>
        </is>
      </c>
      <c r="C45" t="n">
        <v>5</v>
      </c>
      <c r="D45" t="inlineStr">
        <is>
          <t>Strategy Builder — Wizard Shell</t>
        </is>
      </c>
      <c r="E45" t="inlineStr">
        <is>
          <t>Logic</t>
        </is>
      </c>
      <c r="F45" t="inlineStr">
        <is>
          <t>P0</t>
        </is>
      </c>
      <c r="G45" t="inlineStr">
        <is>
          <t>Back from Step 3 → Step 2 → data preserved.</t>
        </is>
      </c>
      <c r="H45" t="inlineStr">
        <is>
          <t>—</t>
        </is>
      </c>
      <c r="I45" t="inlineStr">
        <is>
          <t>No data loss.</t>
        </is>
      </c>
      <c r="J45" t="inlineStr">
        <is>
          <t>— Not tested</t>
        </is>
      </c>
      <c r="K45" t="inlineStr">
        <is>
          <t>— Not tested</t>
        </is>
      </c>
      <c r="L45" t="inlineStr">
        <is>
          <t>— Not tested</t>
        </is>
      </c>
    </row>
    <row r="46">
      <c r="A46" t="n">
        <v>45</v>
      </c>
      <c r="B46" t="inlineStr">
        <is>
          <t>1 — Strategies</t>
        </is>
      </c>
      <c r="C46" t="n">
        <v>6</v>
      </c>
      <c r="D46" t="inlineStr">
        <is>
          <t>Builder Step 1 — Strategy Name</t>
        </is>
      </c>
      <c r="E46" t="inlineStr">
        <is>
          <t>Input matrix</t>
        </is>
      </c>
      <c r="F46" t="inlineStr">
        <is>
          <t>P0</t>
        </is>
      </c>
      <c r="G46" t="inlineStr">
        <is>
          <t>Leave name empty → Next.</t>
        </is>
      </c>
      <c r="H46" t="inlineStr"/>
      <c r="I46" t="inlineStr">
        <is>
          <t>Blocked; red border on name field.</t>
        </is>
      </c>
      <c r="J46" t="inlineStr">
        <is>
          <t>— Not tested</t>
        </is>
      </c>
      <c r="K46" t="inlineStr">
        <is>
          <t>— Not tested</t>
        </is>
      </c>
      <c r="L46" t="inlineStr">
        <is>
          <t>— Not tested</t>
        </is>
      </c>
    </row>
    <row r="47">
      <c r="A47" t="n">
        <v>46</v>
      </c>
      <c r="B47" t="inlineStr">
        <is>
          <t>1 — Strategies</t>
        </is>
      </c>
      <c r="C47" t="n">
        <v>6</v>
      </c>
      <c r="D47" t="inlineStr">
        <is>
          <t>Builder Step 1 — Strategy Name</t>
        </is>
      </c>
      <c r="E47" t="inlineStr">
        <is>
          <t>Input matrix</t>
        </is>
      </c>
      <c r="F47" t="inlineStr">
        <is>
          <t>P1</t>
        </is>
      </c>
      <c r="G47" t="inlineStr">
        <is>
          <t>Name = 1 character.</t>
        </is>
      </c>
      <c r="H47" t="inlineStr">
        <is>
          <t>A</t>
        </is>
      </c>
      <c r="I47" t="inlineStr">
        <is>
          <t>Accepts; can proceed if markets+TF set.</t>
        </is>
      </c>
      <c r="J47" t="inlineStr">
        <is>
          <t>— Not tested</t>
        </is>
      </c>
      <c r="K47" t="inlineStr">
        <is>
          <t>— Not tested</t>
        </is>
      </c>
      <c r="L47" t="inlineStr">
        <is>
          <t>— Not tested</t>
        </is>
      </c>
    </row>
    <row r="48">
      <c r="A48" t="n">
        <v>47</v>
      </c>
      <c r="B48" t="inlineStr">
        <is>
          <t>1 — Strategies</t>
        </is>
      </c>
      <c r="C48" t="n">
        <v>6</v>
      </c>
      <c r="D48" t="inlineStr">
        <is>
          <t>Builder Step 1 — Strategy Name</t>
        </is>
      </c>
      <c r="E48" t="inlineStr">
        <is>
          <t>Input matrix</t>
        </is>
      </c>
      <c r="F48" t="inlineStr">
        <is>
          <t>P1</t>
        </is>
      </c>
      <c r="G48" t="inlineStr">
        <is>
          <t>Name = 80 characters (max).</t>
        </is>
      </c>
      <c r="H48" t="inlineStr">
        <is>
          <t>80×A</t>
        </is>
      </c>
      <c r="I48" t="inlineStr">
        <is>
          <t>Accepts; no truncate in input.</t>
        </is>
      </c>
      <c r="J48" t="inlineStr">
        <is>
          <t>— Not tested</t>
        </is>
      </c>
      <c r="K48" t="inlineStr">
        <is>
          <t>— Not tested</t>
        </is>
      </c>
      <c r="L48" t="inlineStr">
        <is>
          <t>— Not tested</t>
        </is>
      </c>
    </row>
    <row r="49">
      <c r="A49" t="n">
        <v>48</v>
      </c>
      <c r="B49" t="inlineStr">
        <is>
          <t>1 — Strategies</t>
        </is>
      </c>
      <c r="C49" t="n">
        <v>6</v>
      </c>
      <c r="D49" t="inlineStr">
        <is>
          <t>Builder Step 1 — Strategy Name</t>
        </is>
      </c>
      <c r="E49" t="inlineStr">
        <is>
          <t>Input matrix</t>
        </is>
      </c>
      <c r="F49" t="inlineStr">
        <is>
          <t>P1</t>
        </is>
      </c>
      <c r="G49" t="inlineStr">
        <is>
          <t>Name = 81+ characters.</t>
        </is>
      </c>
      <c r="H49" t="inlineStr">
        <is>
          <t>81×A</t>
        </is>
      </c>
      <c r="I49" t="inlineStr">
        <is>
          <t>Input stops at 80 (maxLength).</t>
        </is>
      </c>
      <c r="J49" t="inlineStr">
        <is>
          <t>— Not tested</t>
        </is>
      </c>
      <c r="K49" t="inlineStr">
        <is>
          <t>— Not tested</t>
        </is>
      </c>
      <c r="L49" t="inlineStr">
        <is>
          <t>— Not tested</t>
        </is>
      </c>
    </row>
    <row r="50">
      <c r="A50" t="n">
        <v>49</v>
      </c>
      <c r="B50" t="inlineStr">
        <is>
          <t>1 — Strategies</t>
        </is>
      </c>
      <c r="C50" t="n">
        <v>6</v>
      </c>
      <c r="D50" t="inlineStr">
        <is>
          <t>Builder Step 1 — Strategy Name</t>
        </is>
      </c>
      <c r="E50" t="inlineStr">
        <is>
          <t>Input matrix</t>
        </is>
      </c>
      <c r="F50" t="inlineStr">
        <is>
          <t>P0</t>
        </is>
      </c>
      <c r="G50" t="inlineStr">
        <is>
          <t>Name = only spaces.</t>
        </is>
      </c>
      <c r="H50" t="inlineStr">
        <is>
          <t>   </t>
        </is>
      </c>
      <c r="I50" t="inlineStr">
        <is>
          <t>Treated as empty; blocked.</t>
        </is>
      </c>
      <c r="J50" t="inlineStr">
        <is>
          <t>— Not tested</t>
        </is>
      </c>
      <c r="K50" t="inlineStr">
        <is>
          <t>— Not tested</t>
        </is>
      </c>
      <c r="L50" t="inlineStr">
        <is>
          <t>— Not tested</t>
        </is>
      </c>
    </row>
    <row r="51">
      <c r="A51" t="n">
        <v>50</v>
      </c>
      <c r="B51" t="inlineStr">
        <is>
          <t>1 — Strategies</t>
        </is>
      </c>
      <c r="C51" t="n">
        <v>6</v>
      </c>
      <c r="D51" t="inlineStr">
        <is>
          <t>Builder Step 1 — Strategy Name</t>
        </is>
      </c>
      <c r="E51" t="inlineStr">
        <is>
          <t>Input matrix</t>
        </is>
      </c>
      <c r="F51" t="inlineStr">
        <is>
          <t>P2</t>
        </is>
      </c>
      <c r="G51" t="inlineStr">
        <is>
          <t>Name with emoji inline.</t>
        </is>
      </c>
      <c r="H51" t="inlineStr">
        <is>
          <t>Rocket 🚀 Scalp</t>
        </is>
      </c>
      <c r="I51" t="inlineStr">
        <is>
          <t>Displays correctly on card.</t>
        </is>
      </c>
      <c r="J51" t="inlineStr">
        <is>
          <t>— Not tested</t>
        </is>
      </c>
      <c r="K51" t="inlineStr">
        <is>
          <t>— Not tested</t>
        </is>
      </c>
      <c r="L51" t="inlineStr">
        <is>
          <t>— Not tested</t>
        </is>
      </c>
    </row>
    <row r="52">
      <c r="A52" t="n">
        <v>51</v>
      </c>
      <c r="B52" t="inlineStr">
        <is>
          <t>1 — Strategies</t>
        </is>
      </c>
      <c r="C52" t="n">
        <v>6</v>
      </c>
      <c r="D52" t="inlineStr">
        <is>
          <t>Builder Step 1 — Strategy Name</t>
        </is>
      </c>
      <c r="E52" t="inlineStr">
        <is>
          <t>Input matrix</t>
        </is>
      </c>
      <c r="F52" t="inlineStr">
        <is>
          <t>P0</t>
        </is>
      </c>
      <c r="G52" t="inlineStr">
        <is>
          <t>Name special chars.</t>
        </is>
      </c>
      <c r="H52" t="inlineStr">
        <is>
          <t>Test &lt;&gt;&amp;"'</t>
        </is>
      </c>
      <c r="I52" t="inlineStr">
        <is>
          <t>Displays literally; no HTML injection.</t>
        </is>
      </c>
      <c r="J52" t="inlineStr">
        <is>
          <t>— Not tested</t>
        </is>
      </c>
      <c r="K52" t="inlineStr">
        <is>
          <t>— Not tested</t>
        </is>
      </c>
      <c r="L52" t="inlineStr">
        <is>
          <t>— Not tested</t>
        </is>
      </c>
    </row>
    <row r="53">
      <c r="A53" t="n">
        <v>52</v>
      </c>
      <c r="B53" t="inlineStr">
        <is>
          <t>1 — Strategies</t>
        </is>
      </c>
      <c r="C53" t="n">
        <v>6</v>
      </c>
      <c r="D53" t="inlineStr">
        <is>
          <t>Builder Step 1 — Strategy Name</t>
        </is>
      </c>
      <c r="E53" t="inlineStr">
        <is>
          <t>Input matrix</t>
        </is>
      </c>
      <c r="F53" t="inlineStr">
        <is>
          <t>P2</t>
        </is>
      </c>
      <c r="G53" t="inlineStr">
        <is>
          <t>Name Arabic.</t>
        </is>
      </c>
      <c r="H53" t="inlineStr">
        <is>
          <t>استراتيجية الذهب</t>
        </is>
      </c>
      <c r="I53" t="inlineStr">
        <is>
          <t>RTL displays correctly.</t>
        </is>
      </c>
      <c r="J53" t="inlineStr">
        <is>
          <t>— Not tested</t>
        </is>
      </c>
      <c r="K53" t="inlineStr">
        <is>
          <t>— Not tested</t>
        </is>
      </c>
      <c r="L53" t="inlineStr">
        <is>
          <t>— Not tested</t>
        </is>
      </c>
    </row>
    <row r="54">
      <c r="A54" t="n">
        <v>53</v>
      </c>
      <c r="B54" t="inlineStr">
        <is>
          <t>1 — Strategies</t>
        </is>
      </c>
      <c r="C54" t="n">
        <v>6</v>
      </c>
      <c r="D54" t="inlineStr">
        <is>
          <t>Builder Step 1 — Strategy Name</t>
        </is>
      </c>
      <c r="E54" t="inlineStr">
        <is>
          <t>Input matrix</t>
        </is>
      </c>
      <c r="F54" t="inlineStr">
        <is>
          <t>P2</t>
        </is>
      </c>
      <c r="G54" t="inlineStr">
        <is>
          <t>Name duplicate of existing.</t>
        </is>
      </c>
      <c r="H54" t="inlineStr">
        <is>
          <t>same as another</t>
        </is>
      </c>
      <c r="I54" t="inlineStr">
        <is>
          <t>Allowed (duplicates OK) or warn — note behavior.</t>
        </is>
      </c>
      <c r="J54" t="inlineStr">
        <is>
          <t>— Not tested</t>
        </is>
      </c>
      <c r="K54" t="inlineStr">
        <is>
          <t>— Not tested</t>
        </is>
      </c>
      <c r="L54" t="inlineStr">
        <is>
          <t>— Not tested</t>
        </is>
      </c>
    </row>
    <row r="55">
      <c r="A55" t="n">
        <v>54</v>
      </c>
      <c r="B55" t="inlineStr">
        <is>
          <t>1 — Strategies</t>
        </is>
      </c>
      <c r="C55" t="n">
        <v>6</v>
      </c>
      <c r="D55" t="inlineStr">
        <is>
          <t>Builder Step 1 — Description &amp; Emoji</t>
        </is>
      </c>
      <c r="E55" t="inlineStr">
        <is>
          <t>Input matrix</t>
        </is>
      </c>
      <c r="F55" t="inlineStr">
        <is>
          <t>P1</t>
        </is>
      </c>
      <c r="G55" t="inlineStr">
        <is>
          <t>Description empty.</t>
        </is>
      </c>
      <c r="H55" t="inlineStr">
        <is>
          <t>—</t>
        </is>
      </c>
      <c r="I55" t="inlineStr">
        <is>
          <t>Allowed; optional field.</t>
        </is>
      </c>
      <c r="J55" t="inlineStr">
        <is>
          <t>— Not tested</t>
        </is>
      </c>
      <c r="K55" t="inlineStr">
        <is>
          <t>— Not tested</t>
        </is>
      </c>
      <c r="L55" t="inlineStr">
        <is>
          <t>— Not tested</t>
        </is>
      </c>
    </row>
    <row r="56">
      <c r="A56" t="n">
        <v>55</v>
      </c>
      <c r="B56" t="inlineStr">
        <is>
          <t>1 — Strategies</t>
        </is>
      </c>
      <c r="C56" t="n">
        <v>6</v>
      </c>
      <c r="D56" t="inlineStr">
        <is>
          <t>Builder Step 1 — Description &amp; Emoji</t>
        </is>
      </c>
      <c r="E56" t="inlineStr">
        <is>
          <t>Input matrix</t>
        </is>
      </c>
      <c r="F56" t="inlineStr">
        <is>
          <t>P1</t>
        </is>
      </c>
      <c r="G56" t="inlineStr">
        <is>
          <t>Description 500 chars (max).</t>
        </is>
      </c>
      <c r="H56" t="inlineStr">
        <is>
          <t>500 chars</t>
        </is>
      </c>
      <c r="I56" t="inlineStr">
        <is>
          <t>Counter shows 500/500; accepts.</t>
        </is>
      </c>
      <c r="J56" t="inlineStr">
        <is>
          <t>— Not tested</t>
        </is>
      </c>
      <c r="K56" t="inlineStr">
        <is>
          <t>— Not tested</t>
        </is>
      </c>
      <c r="L56" t="inlineStr">
        <is>
          <t>— Not tested</t>
        </is>
      </c>
    </row>
    <row r="57">
      <c r="A57" t="n">
        <v>56</v>
      </c>
      <c r="B57" t="inlineStr">
        <is>
          <t>1 — Strategies</t>
        </is>
      </c>
      <c r="C57" t="n">
        <v>6</v>
      </c>
      <c r="D57" t="inlineStr">
        <is>
          <t>Builder Step 1 — Description &amp; Emoji</t>
        </is>
      </c>
      <c r="E57" t="inlineStr">
        <is>
          <t>Input matrix</t>
        </is>
      </c>
      <c r="F57" t="inlineStr">
        <is>
          <t>P1</t>
        </is>
      </c>
      <c r="G57" t="inlineStr">
        <is>
          <t>Description 501+ chars.</t>
        </is>
      </c>
      <c r="H57" t="inlineStr">
        <is>
          <t>paste 501</t>
        </is>
      </c>
      <c r="I57" t="inlineStr">
        <is>
          <t>Blocked at 500 maxLength.</t>
        </is>
      </c>
      <c r="J57" t="inlineStr">
        <is>
          <t>— Not tested</t>
        </is>
      </c>
      <c r="K57" t="inlineStr">
        <is>
          <t>— Not tested</t>
        </is>
      </c>
      <c r="L57" t="inlineStr">
        <is>
          <t>— Not tested</t>
        </is>
      </c>
    </row>
    <row r="58">
      <c r="A58" t="n">
        <v>57</v>
      </c>
      <c r="B58" t="inlineStr">
        <is>
          <t>1 — Strategies</t>
        </is>
      </c>
      <c r="C58" t="n">
        <v>6</v>
      </c>
      <c r="D58" t="inlineStr">
        <is>
          <t>Builder Step 1 — Description &amp; Emoji</t>
        </is>
      </c>
      <c r="E58" t="inlineStr">
        <is>
          <t>Input matrix</t>
        </is>
      </c>
      <c r="F58" t="inlineStr">
        <is>
          <t>P2</t>
        </is>
      </c>
      <c r="G58" t="inlineStr">
        <is>
          <t>Description with newlines.</t>
        </is>
      </c>
      <c r="H58" t="inlineStr">
        <is>
          <t>line1\nline2</t>
        </is>
      </c>
      <c r="I58" t="inlineStr">
        <is>
          <t>Multiline displays on card/review.</t>
        </is>
      </c>
      <c r="J58" t="inlineStr">
        <is>
          <t>— Not tested</t>
        </is>
      </c>
      <c r="K58" t="inlineStr">
        <is>
          <t>— Not tested</t>
        </is>
      </c>
      <c r="L58" t="inlineStr">
        <is>
          <t>— Not tested</t>
        </is>
      </c>
    </row>
    <row r="59">
      <c r="A59" t="n">
        <v>58</v>
      </c>
      <c r="B59" t="inlineStr">
        <is>
          <t>1 — Strategies</t>
        </is>
      </c>
      <c r="C59" t="n">
        <v>6</v>
      </c>
      <c r="D59" t="inlineStr">
        <is>
          <t>Builder Step 1 — Description &amp; Emoji</t>
        </is>
      </c>
      <c r="E59" t="inlineStr">
        <is>
          <t>Input matrix</t>
        </is>
      </c>
      <c r="F59" t="inlineStr">
        <is>
          <t>P1</t>
        </is>
      </c>
      <c r="G59" t="inlineStr">
        <is>
          <t>Open emoji picker → browse Finance category.</t>
        </is>
      </c>
      <c r="H59" t="inlineStr">
        <is>
          <t>—</t>
        </is>
      </c>
      <c r="I59" t="inlineStr">
        <is>
          <t>Emoji grid loads.</t>
        </is>
      </c>
      <c r="J59" t="inlineStr">
        <is>
          <t>— Not tested</t>
        </is>
      </c>
      <c r="K59" t="inlineStr">
        <is>
          <t>— Not tested</t>
        </is>
      </c>
      <c r="L59" t="inlineStr">
        <is>
          <t>— Not tested</t>
        </is>
      </c>
    </row>
    <row r="60">
      <c r="A60" t="n">
        <v>59</v>
      </c>
      <c r="B60" t="inlineStr">
        <is>
          <t>1 — Strategies</t>
        </is>
      </c>
      <c r="C60" t="n">
        <v>6</v>
      </c>
      <c r="D60" t="inlineStr">
        <is>
          <t>Builder Step 1 — Description &amp; Emoji</t>
        </is>
      </c>
      <c r="E60" t="inlineStr">
        <is>
          <t>Input matrix</t>
        </is>
      </c>
      <c r="F60" t="inlineStr">
        <is>
          <t>P2</t>
        </is>
      </c>
      <c r="G60" t="inlineStr">
        <is>
          <t>Search emoji picker.</t>
        </is>
      </c>
      <c r="H60" t="inlineStr">
        <is>
          <t>chart</t>
        </is>
      </c>
      <c r="I60" t="inlineStr">
        <is>
          <t>Filters emoji list.</t>
        </is>
      </c>
      <c r="J60" t="inlineStr">
        <is>
          <t>— Not tested</t>
        </is>
      </c>
      <c r="K60" t="inlineStr">
        <is>
          <t>— Not tested</t>
        </is>
      </c>
      <c r="L60" t="inlineStr">
        <is>
          <t>— Not tested</t>
        </is>
      </c>
    </row>
    <row r="61">
      <c r="A61" t="n">
        <v>60</v>
      </c>
      <c r="B61" t="inlineStr">
        <is>
          <t>1 — Strategies</t>
        </is>
      </c>
      <c r="C61" t="n">
        <v>6</v>
      </c>
      <c r="D61" t="inlineStr">
        <is>
          <t>Builder Step 1 — Description &amp; Emoji</t>
        </is>
      </c>
      <c r="E61" t="inlineStr">
        <is>
          <t>Input matrix</t>
        </is>
      </c>
      <c r="F61" t="inlineStr">
        <is>
          <t>P1</t>
        </is>
      </c>
      <c r="G61" t="inlineStr">
        <is>
          <t>Select emoji → appears on button.</t>
        </is>
      </c>
      <c r="H61" t="inlineStr">
        <is>
          <t>📈</t>
        </is>
      </c>
      <c r="I61" t="inlineStr">
        <is>
          <t>Emoji shows on picker button.</t>
        </is>
      </c>
      <c r="J61" t="inlineStr">
        <is>
          <t>— Not tested</t>
        </is>
      </c>
      <c r="K61" t="inlineStr">
        <is>
          <t>— Not tested</t>
        </is>
      </c>
      <c r="L61" t="inlineStr">
        <is>
          <t>— Not tested</t>
        </is>
      </c>
    </row>
    <row r="62">
      <c r="A62" t="n">
        <v>61</v>
      </c>
      <c r="B62" t="inlineStr">
        <is>
          <t>1 — Strategies</t>
        </is>
      </c>
      <c r="C62" t="n">
        <v>6</v>
      </c>
      <c r="D62" t="inlineStr">
        <is>
          <t>Builder Step 1 — Description &amp; Emoji</t>
        </is>
      </c>
      <c r="E62" t="inlineStr">
        <is>
          <t>Input matrix</t>
        </is>
      </c>
      <c r="F62" t="inlineStr">
        <is>
          <t>P2</t>
        </is>
      </c>
      <c r="G62" t="inlineStr">
        <is>
          <t>Remove emoji via × on button.</t>
        </is>
      </c>
      <c r="H62" t="inlineStr">
        <is>
          <t>—</t>
        </is>
      </c>
      <c r="I62" t="inlineStr">
        <is>
          <t>Emoji clears.</t>
        </is>
      </c>
      <c r="J62" t="inlineStr">
        <is>
          <t>— Not tested</t>
        </is>
      </c>
      <c r="K62" t="inlineStr">
        <is>
          <t>— Not tested</t>
        </is>
      </c>
      <c r="L62" t="inlineStr">
        <is>
          <t>— Not tested</t>
        </is>
      </c>
    </row>
    <row r="63">
      <c r="A63" t="n">
        <v>62</v>
      </c>
      <c r="B63" t="inlineStr">
        <is>
          <t>1 — Strategies</t>
        </is>
      </c>
      <c r="C63" t="n">
        <v>6</v>
      </c>
      <c r="D63" t="inlineStr">
        <is>
          <t>Builder Step 1 — Description &amp; Emoji</t>
        </is>
      </c>
      <c r="E63" t="inlineStr">
        <is>
          <t>Input matrix</t>
        </is>
      </c>
      <c r="F63" t="inlineStr">
        <is>
          <t>P2</t>
        </is>
      </c>
      <c r="G63" t="inlineStr">
        <is>
          <t>Each emoji category tab.</t>
        </is>
      </c>
      <c r="H63" t="inlineStr">
        <is>
          <t>9 categories</t>
        </is>
      </c>
      <c r="I63" t="inlineStr">
        <is>
          <t>All categories have icons.</t>
        </is>
      </c>
      <c r="J63" t="inlineStr">
        <is>
          <t>— Not tested</t>
        </is>
      </c>
      <c r="K63" t="inlineStr">
        <is>
          <t>— Not tested</t>
        </is>
      </c>
      <c r="L63" t="inlineStr">
        <is>
          <t>— Not tested</t>
        </is>
      </c>
    </row>
    <row r="64">
      <c r="A64" t="n">
        <v>63</v>
      </c>
      <c r="B64" t="inlineStr">
        <is>
          <t>1 — Strategies</t>
        </is>
      </c>
      <c r="C64" t="n">
        <v>7</v>
      </c>
      <c r="D64" t="inlineStr">
        <is>
          <t>Builder Step 1 — Tags</t>
        </is>
      </c>
      <c r="E64" t="inlineStr">
        <is>
          <t>Input matrix</t>
        </is>
      </c>
      <c r="F64" t="inlineStr">
        <is>
          <t>P1</t>
        </is>
      </c>
      <c r="G64" t="inlineStr">
        <is>
          <t>Add 0 tags.</t>
        </is>
      </c>
      <c r="H64" t="inlineStr">
        <is>
          <t>—</t>
        </is>
      </c>
      <c r="I64" t="inlineStr">
        <is>
          <t>Allowed.</t>
        </is>
      </c>
      <c r="J64" t="inlineStr">
        <is>
          <t>— Not tested</t>
        </is>
      </c>
      <c r="K64" t="inlineStr">
        <is>
          <t>— Not tested</t>
        </is>
      </c>
      <c r="L64" t="inlineStr">
        <is>
          <t>— Not tested</t>
        </is>
      </c>
    </row>
    <row r="65">
      <c r="A65" t="n">
        <v>64</v>
      </c>
      <c r="B65" t="inlineStr">
        <is>
          <t>1 — Strategies</t>
        </is>
      </c>
      <c r="C65" t="n">
        <v>7</v>
      </c>
      <c r="D65" t="inlineStr">
        <is>
          <t>Builder Step 1 — Tags</t>
        </is>
      </c>
      <c r="E65" t="inlineStr">
        <is>
          <t>Input matrix</t>
        </is>
      </c>
      <c r="F65" t="inlineStr">
        <is>
          <t>P1</t>
        </is>
      </c>
      <c r="G65" t="inlineStr">
        <is>
          <t>Add 1 tag from library.</t>
        </is>
      </c>
      <c r="H65" t="inlineStr">
        <is>
          <t>Scalping</t>
        </is>
      </c>
      <c r="I65" t="inlineStr">
        <is>
          <t>Tag chip appears.</t>
        </is>
      </c>
      <c r="J65" t="inlineStr">
        <is>
          <t>— Not tested</t>
        </is>
      </c>
      <c r="K65" t="inlineStr">
        <is>
          <t>— Not tested</t>
        </is>
      </c>
      <c r="L65" t="inlineStr">
        <is>
          <t>— Not tested</t>
        </is>
      </c>
    </row>
    <row r="66">
      <c r="A66" t="n">
        <v>65</v>
      </c>
      <c r="B66" t="inlineStr">
        <is>
          <t>1 — Strategies</t>
        </is>
      </c>
      <c r="C66" t="n">
        <v>7</v>
      </c>
      <c r="D66" t="inlineStr">
        <is>
          <t>Builder Step 1 — Tags</t>
        </is>
      </c>
      <c r="E66" t="inlineStr">
        <is>
          <t>Input matrix</t>
        </is>
      </c>
      <c r="F66" t="inlineStr">
        <is>
          <t>P1</t>
        </is>
      </c>
      <c r="G66" t="inlineStr">
        <is>
          <t>Add 10 tags (MAX_TAGS).</t>
        </is>
      </c>
      <c r="H66" t="inlineStr">
        <is>
          <t>10 distinct</t>
        </is>
      </c>
      <c r="I66" t="inlineStr">
        <is>
          <t>Counter shows 10/10.</t>
        </is>
      </c>
      <c r="J66" t="inlineStr">
        <is>
          <t>— Not tested</t>
        </is>
      </c>
      <c r="K66" t="inlineStr">
        <is>
          <t>— Not tested</t>
        </is>
      </c>
      <c r="L66" t="inlineStr">
        <is>
          <t>— Not tested</t>
        </is>
      </c>
    </row>
    <row r="67">
      <c r="A67" t="n">
        <v>66</v>
      </c>
      <c r="B67" t="inlineStr">
        <is>
          <t>1 — Strategies</t>
        </is>
      </c>
      <c r="C67" t="n">
        <v>7</v>
      </c>
      <c r="D67" t="inlineStr">
        <is>
          <t>Builder Step 1 — Tags</t>
        </is>
      </c>
      <c r="E67" t="inlineStr">
        <is>
          <t>Input matrix</t>
        </is>
      </c>
      <c r="F67" t="inlineStr">
        <is>
          <t>P0</t>
        </is>
      </c>
      <c r="G67" t="inlineStr">
        <is>
          <t>Try 11th tag.</t>
        </is>
      </c>
      <c r="H67" t="inlineStr">
        <is>
          <t>11th tag</t>
        </is>
      </c>
      <c r="I67" t="inlineStr">
        <is>
          <t>Blocked; opacity/disabled in dropdown.</t>
        </is>
      </c>
      <c r="J67" t="inlineStr">
        <is>
          <t>— Not tested</t>
        </is>
      </c>
      <c r="K67" t="inlineStr">
        <is>
          <t>— Not tested</t>
        </is>
      </c>
      <c r="L67" t="inlineStr">
        <is>
          <t>— Not tested</t>
        </is>
      </c>
    </row>
    <row r="68">
      <c r="A68" t="n">
        <v>67</v>
      </c>
      <c r="B68" t="inlineStr">
        <is>
          <t>1 — Strategies</t>
        </is>
      </c>
      <c r="C68" t="n">
        <v>7</v>
      </c>
      <c r="D68" t="inlineStr">
        <is>
          <t>Builder Step 1 — Tags</t>
        </is>
      </c>
      <c r="E68" t="inlineStr">
        <is>
          <t>Input matrix</t>
        </is>
      </c>
      <c r="F68" t="inlineStr">
        <is>
          <t>P1</t>
        </is>
      </c>
      <c r="G68" t="inlineStr">
        <is>
          <t>Remove tag via chip ×.</t>
        </is>
      </c>
      <c r="H68" t="inlineStr">
        <is>
          <t>—</t>
        </is>
      </c>
      <c r="I68" t="inlineStr">
        <is>
          <t>Tag removed; can add again.</t>
        </is>
      </c>
      <c r="J68" t="inlineStr">
        <is>
          <t>— Not tested</t>
        </is>
      </c>
      <c r="K68" t="inlineStr">
        <is>
          <t>— Not tested</t>
        </is>
      </c>
      <c r="L68" t="inlineStr">
        <is>
          <t>— Not tested</t>
        </is>
      </c>
    </row>
    <row r="69">
      <c r="A69" t="n">
        <v>68</v>
      </c>
      <c r="B69" t="inlineStr">
        <is>
          <t>1 — Strategies</t>
        </is>
      </c>
      <c r="C69" t="n">
        <v>7</v>
      </c>
      <c r="D69" t="inlineStr">
        <is>
          <t>Builder Step 1 — Tags</t>
        </is>
      </c>
      <c r="E69" t="inlineStr">
        <is>
          <t>Input matrix</t>
        </is>
      </c>
      <c r="F69" t="inlineStr">
        <is>
          <t>P1</t>
        </is>
      </c>
      <c r="G69" t="inlineStr">
        <is>
          <t>Add custom tag via input.</t>
        </is>
      </c>
      <c r="H69" t="inlineStr">
        <is>
          <t>MyCustomTag</t>
        </is>
      </c>
      <c r="I69" t="inlineStr">
        <is>
          <t>Custom tag added.</t>
        </is>
      </c>
      <c r="J69" t="inlineStr">
        <is>
          <t>— Not tested</t>
        </is>
      </c>
      <c r="K69" t="inlineStr">
        <is>
          <t>— Not tested</t>
        </is>
      </c>
      <c r="L69" t="inlineStr">
        <is>
          <t>— Not tested</t>
        </is>
      </c>
    </row>
    <row r="70">
      <c r="A70" t="n">
        <v>69</v>
      </c>
      <c r="B70" t="inlineStr">
        <is>
          <t>1 — Strategies</t>
        </is>
      </c>
      <c r="C70" t="n">
        <v>7</v>
      </c>
      <c r="D70" t="inlineStr">
        <is>
          <t>Builder Step 1 — Tags</t>
        </is>
      </c>
      <c r="E70" t="inlineStr">
        <is>
          <t>Input matrix</t>
        </is>
      </c>
      <c r="F70" t="inlineStr">
        <is>
          <t>P2</t>
        </is>
      </c>
      <c r="G70" t="inlineStr">
        <is>
          <t>Toggle same tag off in dropdown.</t>
        </is>
      </c>
      <c r="H70" t="inlineStr">
        <is>
          <t>—</t>
        </is>
      </c>
      <c r="I70" t="inlineStr">
        <is>
          <t>Removed from selection.</t>
        </is>
      </c>
      <c r="J70" t="inlineStr">
        <is>
          <t>— Not tested</t>
        </is>
      </c>
      <c r="K70" t="inlineStr">
        <is>
          <t>— Not tested</t>
        </is>
      </c>
      <c r="L70" t="inlineStr">
        <is>
          <t>— Not tested</t>
        </is>
      </c>
    </row>
    <row r="71">
      <c r="A71" t="n">
        <v>70</v>
      </c>
      <c r="B71" t="inlineStr">
        <is>
          <t>1 — Strategies</t>
        </is>
      </c>
      <c r="C71" t="n">
        <v>7</v>
      </c>
      <c r="D71" t="inlineStr">
        <is>
          <t>Builder Step 1 — Tags</t>
        </is>
      </c>
      <c r="E71" t="inlineStr">
        <is>
          <t>Input matrix</t>
        </is>
      </c>
      <c r="F71" t="inlineStr">
        <is>
          <t>P2</t>
        </is>
      </c>
      <c r="G71" t="inlineStr">
        <is>
          <t>Duplicate tag click.</t>
        </is>
      </c>
      <c r="H71" t="inlineStr">
        <is>
          <t>same tag twice</t>
        </is>
      </c>
      <c r="I71" t="inlineStr">
        <is>
          <t>No duplicate chips.</t>
        </is>
      </c>
      <c r="J71" t="inlineStr">
        <is>
          <t>— Not tested</t>
        </is>
      </c>
      <c r="K71" t="inlineStr">
        <is>
          <t>— Not tested</t>
        </is>
      </c>
      <c r="L71" t="inlineStr">
        <is>
          <t>— Not tested</t>
        </is>
      </c>
    </row>
    <row r="72">
      <c r="A72" t="n">
        <v>71</v>
      </c>
      <c r="B72" t="inlineStr">
        <is>
          <t>1 — Strategies</t>
        </is>
      </c>
      <c r="C72" t="n">
        <v>8</v>
      </c>
      <c r="D72" t="inlineStr">
        <is>
          <t>Builder Step 1 — Markets &amp; Instruments</t>
        </is>
      </c>
      <c r="E72" t="inlineStr">
        <is>
          <t>Configuration</t>
        </is>
      </c>
      <c r="F72" t="inlineStr">
        <is>
          <t>P1</t>
        </is>
      </c>
      <c r="G72" t="inlineStr">
        <is>
          <t>Select only **Forex** market.</t>
        </is>
      </c>
      <c r="H72" t="inlineStr">
        <is>
          <t>Forex</t>
        </is>
      </c>
      <c r="I72" t="inlineStr">
        <is>
          <t>Market chip active; instrument picker filters to Forex symbols.</t>
        </is>
      </c>
      <c r="J72" t="inlineStr">
        <is>
          <t>— Not tested</t>
        </is>
      </c>
      <c r="K72" t="inlineStr">
        <is>
          <t>— Not tested</t>
        </is>
      </c>
      <c r="L72" t="inlineStr">
        <is>
          <t>— Not tested</t>
        </is>
      </c>
    </row>
    <row r="73">
      <c r="A73" t="n">
        <v>72</v>
      </c>
      <c r="B73" t="inlineStr">
        <is>
          <t>1 — Strategies</t>
        </is>
      </c>
      <c r="C73" t="n">
        <v>8</v>
      </c>
      <c r="D73" t="inlineStr">
        <is>
          <t>Builder Step 1 — Markets &amp; Instruments</t>
        </is>
      </c>
      <c r="E73" t="inlineStr">
        <is>
          <t>Configuration</t>
        </is>
      </c>
      <c r="F73" t="inlineStr">
        <is>
          <t>P1</t>
        </is>
      </c>
      <c r="G73" t="inlineStr">
        <is>
          <t>Select only **Futures** market.</t>
        </is>
      </c>
      <c r="H73" t="inlineStr">
        <is>
          <t>Futures</t>
        </is>
      </c>
      <c r="I73" t="inlineStr">
        <is>
          <t>Market chip active; instrument picker filters to Futures symbols.</t>
        </is>
      </c>
      <c r="J73" t="inlineStr">
        <is>
          <t>— Not tested</t>
        </is>
      </c>
      <c r="K73" t="inlineStr">
        <is>
          <t>— Not tested</t>
        </is>
      </c>
      <c r="L73" t="inlineStr">
        <is>
          <t>— Not tested</t>
        </is>
      </c>
    </row>
    <row r="74">
      <c r="A74" t="n">
        <v>73</v>
      </c>
      <c r="B74" t="inlineStr">
        <is>
          <t>1 — Strategies</t>
        </is>
      </c>
      <c r="C74" t="n">
        <v>8</v>
      </c>
      <c r="D74" t="inlineStr">
        <is>
          <t>Builder Step 1 — Markets &amp; Instruments</t>
        </is>
      </c>
      <c r="E74" t="inlineStr">
        <is>
          <t>Configuration</t>
        </is>
      </c>
      <c r="F74" t="inlineStr">
        <is>
          <t>P1</t>
        </is>
      </c>
      <c r="G74" t="inlineStr">
        <is>
          <t>Select only **Crypto** market.</t>
        </is>
      </c>
      <c r="H74" t="inlineStr">
        <is>
          <t>Crypto</t>
        </is>
      </c>
      <c r="I74" t="inlineStr">
        <is>
          <t>Market chip active; instrument picker filters to Crypto symbols.</t>
        </is>
      </c>
      <c r="J74" t="inlineStr">
        <is>
          <t>— Not tested</t>
        </is>
      </c>
      <c r="K74" t="inlineStr">
        <is>
          <t>— Not tested</t>
        </is>
      </c>
      <c r="L74" t="inlineStr">
        <is>
          <t>— Not tested</t>
        </is>
      </c>
    </row>
    <row r="75">
      <c r="A75" t="n">
        <v>74</v>
      </c>
      <c r="B75" t="inlineStr">
        <is>
          <t>1 — Strategies</t>
        </is>
      </c>
      <c r="C75" t="n">
        <v>8</v>
      </c>
      <c r="D75" t="inlineStr">
        <is>
          <t>Builder Step 1 — Markets &amp; Instruments</t>
        </is>
      </c>
      <c r="E75" t="inlineStr">
        <is>
          <t>Configuration</t>
        </is>
      </c>
      <c r="F75" t="inlineStr">
        <is>
          <t>P1</t>
        </is>
      </c>
      <c r="G75" t="inlineStr">
        <is>
          <t>Select only **Stocks** market.</t>
        </is>
      </c>
      <c r="H75" t="inlineStr">
        <is>
          <t>Stocks</t>
        </is>
      </c>
      <c r="I75" t="inlineStr">
        <is>
          <t>Market chip active; instrument picker filters to Stocks symbols.</t>
        </is>
      </c>
      <c r="J75" t="inlineStr">
        <is>
          <t>— Not tested</t>
        </is>
      </c>
      <c r="K75" t="inlineStr">
        <is>
          <t>— Not tested</t>
        </is>
      </c>
      <c r="L75" t="inlineStr">
        <is>
          <t>— Not tested</t>
        </is>
      </c>
    </row>
    <row r="76">
      <c r="A76" t="n">
        <v>75</v>
      </c>
      <c r="B76" t="inlineStr">
        <is>
          <t>1 — Strategies</t>
        </is>
      </c>
      <c r="C76" t="n">
        <v>8</v>
      </c>
      <c r="D76" t="inlineStr">
        <is>
          <t>Builder Step 1 — Markets &amp; Instruments</t>
        </is>
      </c>
      <c r="E76" t="inlineStr">
        <is>
          <t>Configuration</t>
        </is>
      </c>
      <c r="F76" t="inlineStr">
        <is>
          <t>P1</t>
        </is>
      </c>
      <c r="G76" t="inlineStr">
        <is>
          <t>Select all 4 markets.</t>
        </is>
      </c>
      <c r="H76" t="inlineStr">
        <is>
          <t>Forex+Futures+Crypto+Stocks</t>
        </is>
      </c>
      <c r="I76" t="inlineStr">
        <is>
          <t>Label shows 'All markets' or all 4 chips.</t>
        </is>
      </c>
      <c r="J76" t="inlineStr">
        <is>
          <t>— Not tested</t>
        </is>
      </c>
      <c r="K76" t="inlineStr">
        <is>
          <t>— Not tested</t>
        </is>
      </c>
      <c r="L76" t="inlineStr">
        <is>
          <t>— Not tested</t>
        </is>
      </c>
    </row>
    <row r="77">
      <c r="A77" t="n">
        <v>76</v>
      </c>
      <c r="B77" t="inlineStr">
        <is>
          <t>1 — Strategies</t>
        </is>
      </c>
      <c r="C77" t="n">
        <v>8</v>
      </c>
      <c r="D77" t="inlineStr">
        <is>
          <t>Builder Step 1 — Markets &amp; Instruments</t>
        </is>
      </c>
      <c r="E77" t="inlineStr">
        <is>
          <t>Configuration</t>
        </is>
      </c>
      <c r="F77" t="inlineStr">
        <is>
          <t>P0</t>
        </is>
      </c>
      <c r="G77" t="inlineStr">
        <is>
          <t>Deselect all markets → Next.</t>
        </is>
      </c>
      <c r="H77" t="inlineStr">
        <is>
          <t>none</t>
        </is>
      </c>
      <c r="I77" t="inlineStr">
        <is>
          <t>Blocked; markets required.</t>
        </is>
      </c>
      <c r="J77" t="inlineStr">
        <is>
          <t>— Not tested</t>
        </is>
      </c>
      <c r="K77" t="inlineStr">
        <is>
          <t>— Not tested</t>
        </is>
      </c>
      <c r="L77" t="inlineStr">
        <is>
          <t>— Not tested</t>
        </is>
      </c>
    </row>
    <row r="78">
      <c r="A78" t="n">
        <v>77</v>
      </c>
      <c r="B78" t="inlineStr">
        <is>
          <t>1 — Strategies</t>
        </is>
      </c>
      <c r="C78" t="n">
        <v>8</v>
      </c>
      <c r="D78" t="inlineStr">
        <is>
          <t>Builder Step 1 — Markets &amp; Instruments</t>
        </is>
      </c>
      <c r="E78" t="inlineStr">
        <is>
          <t>Configuration</t>
        </is>
      </c>
      <c r="F78" t="inlineStr">
        <is>
          <t>P1</t>
        </is>
      </c>
      <c r="G78" t="inlineStr">
        <is>
          <t>Add 1 instrument.</t>
        </is>
      </c>
      <c r="H78" t="inlineStr">
        <is>
          <t>e.g. EURUSD</t>
        </is>
      </c>
      <c r="I78" t="inlineStr">
        <is>
          <t>Instrument chip appears.</t>
        </is>
      </c>
      <c r="J78" t="inlineStr">
        <is>
          <t>— Not tested</t>
        </is>
      </c>
      <c r="K78" t="inlineStr">
        <is>
          <t>— Not tested</t>
        </is>
      </c>
      <c r="L78" t="inlineStr">
        <is>
          <t>— Not tested</t>
        </is>
      </c>
    </row>
    <row r="79">
      <c r="A79" t="n">
        <v>78</v>
      </c>
      <c r="B79" t="inlineStr">
        <is>
          <t>1 — Strategies</t>
        </is>
      </c>
      <c r="C79" t="n">
        <v>8</v>
      </c>
      <c r="D79" t="inlineStr">
        <is>
          <t>Builder Step 1 — Markets &amp; Instruments</t>
        </is>
      </c>
      <c r="E79" t="inlineStr">
        <is>
          <t>Configuration</t>
        </is>
      </c>
      <c r="F79" t="inlineStr">
        <is>
          <t>P0</t>
        </is>
      </c>
      <c r="G79" t="inlineStr">
        <is>
          <t>Add 10 instruments (max).</t>
        </is>
      </c>
      <c r="H79" t="inlineStr">
        <is>
          <t>10 symbols</t>
        </is>
      </c>
      <c r="I79" t="inlineStr">
        <is>
          <t>10 chips; cannot add 11th.</t>
        </is>
      </c>
      <c r="J79" t="inlineStr">
        <is>
          <t>— Not tested</t>
        </is>
      </c>
      <c r="K79" t="inlineStr">
        <is>
          <t>— Not tested</t>
        </is>
      </c>
      <c r="L79" t="inlineStr">
        <is>
          <t>— Not tested</t>
        </is>
      </c>
    </row>
    <row r="80">
      <c r="A80" t="n">
        <v>79</v>
      </c>
      <c r="B80" t="inlineStr">
        <is>
          <t>1 — Strategies</t>
        </is>
      </c>
      <c r="C80" t="n">
        <v>8</v>
      </c>
      <c r="D80" t="inlineStr">
        <is>
          <t>Builder Step 1 — Markets &amp; Instruments</t>
        </is>
      </c>
      <c r="E80" t="inlineStr">
        <is>
          <t>Configuration</t>
        </is>
      </c>
      <c r="F80" t="inlineStr">
        <is>
          <t>P1</t>
        </is>
      </c>
      <c r="G80" t="inlineStr">
        <is>
          <t>Instrument search: type 'EUR'.</t>
        </is>
      </c>
      <c r="H80" t="inlineStr">
        <is>
          <t>EUR</t>
        </is>
      </c>
      <c r="I80" t="inlineStr">
        <is>
          <t>Filters instrument list.</t>
        </is>
      </c>
      <c r="J80" t="inlineStr">
        <is>
          <t>— Not tested</t>
        </is>
      </c>
      <c r="K80" t="inlineStr">
        <is>
          <t>— Not tested</t>
        </is>
      </c>
      <c r="L80" t="inlineStr">
        <is>
          <t>— Not tested</t>
        </is>
      </c>
    </row>
    <row r="81">
      <c r="A81" t="n">
        <v>80</v>
      </c>
      <c r="B81" t="inlineStr">
        <is>
          <t>1 — Strategies</t>
        </is>
      </c>
      <c r="C81" t="n">
        <v>8</v>
      </c>
      <c r="D81" t="inlineStr">
        <is>
          <t>Builder Step 1 — Markets &amp; Instruments</t>
        </is>
      </c>
      <c r="E81" t="inlineStr">
        <is>
          <t>Configuration</t>
        </is>
      </c>
      <c r="F81" t="inlineStr">
        <is>
          <t>P2</t>
        </is>
      </c>
      <c r="G81" t="inlineStr">
        <is>
          <t>Instrument search: no match.</t>
        </is>
      </c>
      <c r="H81" t="inlineStr">
        <is>
          <t>ZZZZZ</t>
        </is>
      </c>
      <c r="I81" t="inlineStr">
        <is>
          <t>Empty list; no crash.</t>
        </is>
      </c>
      <c r="J81" t="inlineStr">
        <is>
          <t>— Not tested</t>
        </is>
      </c>
      <c r="K81" t="inlineStr">
        <is>
          <t>— Not tested</t>
        </is>
      </c>
      <c r="L81" t="inlineStr">
        <is>
          <t>— Not tested</t>
        </is>
      </c>
    </row>
    <row r="82">
      <c r="A82" t="n">
        <v>81</v>
      </c>
      <c r="B82" t="inlineStr">
        <is>
          <t>1 — Strategies</t>
        </is>
      </c>
      <c r="C82" t="n">
        <v>8</v>
      </c>
      <c r="D82" t="inlineStr">
        <is>
          <t>Builder Step 1 — Markets &amp; Instruments</t>
        </is>
      </c>
      <c r="E82" t="inlineStr">
        <is>
          <t>Configuration</t>
        </is>
      </c>
      <c r="F82" t="inlineStr">
        <is>
          <t>P2</t>
        </is>
      </c>
      <c r="G82" t="inlineStr">
        <is>
          <t>Supporting instruments: add 2 secondary symbols.</t>
        </is>
      </c>
      <c r="H82" t="inlineStr">
        <is>
          <t>2 symbols</t>
        </is>
      </c>
      <c r="I82" t="inlineStr">
        <is>
          <t>Supporting list populated.</t>
        </is>
      </c>
      <c r="J82" t="inlineStr">
        <is>
          <t>— Not tested</t>
        </is>
      </c>
      <c r="K82" t="inlineStr">
        <is>
          <t>— Not tested</t>
        </is>
      </c>
      <c r="L82" t="inlineStr">
        <is>
          <t>— Not tested</t>
        </is>
      </c>
    </row>
    <row r="83">
      <c r="A83" t="n">
        <v>82</v>
      </c>
      <c r="B83" t="inlineStr">
        <is>
          <t>1 — Strategies</t>
        </is>
      </c>
      <c r="C83" t="n">
        <v>8</v>
      </c>
      <c r="D83" t="inlineStr">
        <is>
          <t>Builder Step 1 — Markets &amp; Instruments</t>
        </is>
      </c>
      <c r="E83" t="inlineStr">
        <is>
          <t>Configuration</t>
        </is>
      </c>
      <c r="F83" t="inlineStr">
        <is>
          <t>P2</t>
        </is>
      </c>
      <c r="G83" t="inlineStr">
        <is>
          <t>Toggle Style: Scalping, Intraday, Swing each.</t>
        </is>
      </c>
      <c r="H83" t="inlineStr">
        <is>
          <t>3 options</t>
        </is>
      </c>
      <c r="I83" t="inlineStr">
        <is>
          <t>One active at a time.</t>
        </is>
      </c>
      <c r="J83" t="inlineStr">
        <is>
          <t>— Not tested</t>
        </is>
      </c>
      <c r="K83" t="inlineStr">
        <is>
          <t>— Not tested</t>
        </is>
      </c>
      <c r="L83" t="inlineStr">
        <is>
          <t>— Not tested</t>
        </is>
      </c>
    </row>
    <row r="84">
      <c r="A84" t="n">
        <v>83</v>
      </c>
      <c r="B84" t="inlineStr">
        <is>
          <t>1 — Strategies</t>
        </is>
      </c>
      <c r="C84" t="n">
        <v>8</v>
      </c>
      <c r="D84" t="inlineStr">
        <is>
          <t>Builder Step 1 — Markets &amp; Instruments</t>
        </is>
      </c>
      <c r="E84" t="inlineStr">
        <is>
          <t>Configuration</t>
        </is>
      </c>
      <c r="F84" t="inlineStr">
        <is>
          <t>P2</t>
        </is>
      </c>
      <c r="G84" t="inlineStr">
        <is>
          <t>Toggle Direction: Both, Long Only, Short Only.</t>
        </is>
      </c>
      <c r="H84" t="inlineStr">
        <is>
          <t>3 options</t>
        </is>
      </c>
      <c r="I84" t="inlineStr">
        <is>
          <t>Selection persists to review.</t>
        </is>
      </c>
      <c r="J84" t="inlineStr">
        <is>
          <t>— Not tested</t>
        </is>
      </c>
      <c r="K84" t="inlineStr">
        <is>
          <t>— Not tested</t>
        </is>
      </c>
      <c r="L84" t="inlineStr">
        <is>
          <t>— Not tested</t>
        </is>
      </c>
    </row>
    <row r="85">
      <c r="A85" t="n">
        <v>84</v>
      </c>
      <c r="B85" t="inlineStr">
        <is>
          <t>1 — Strategies</t>
        </is>
      </c>
      <c r="C85" t="n">
        <v>9</v>
      </c>
      <c r="D85" t="inlineStr">
        <is>
          <t>Builder Step 1 — Timeframes</t>
        </is>
      </c>
      <c r="E85" t="inlineStr">
        <is>
          <t>Configuration</t>
        </is>
      </c>
      <c r="F85" t="inlineStr">
        <is>
          <t>P1</t>
        </is>
      </c>
      <c r="G85" t="inlineStr">
        <is>
          <t>Select timeframe **1m**.</t>
        </is>
      </c>
      <c r="H85" t="inlineStr">
        <is>
          <t>1m</t>
        </is>
      </c>
      <c r="I85" t="inlineStr">
        <is>
          <t>1m chip active; included in saved strategy.</t>
        </is>
      </c>
      <c r="J85" t="inlineStr">
        <is>
          <t>— Not tested</t>
        </is>
      </c>
      <c r="K85" t="inlineStr">
        <is>
          <t>— Not tested</t>
        </is>
      </c>
      <c r="L85" t="inlineStr">
        <is>
          <t>— Not tested</t>
        </is>
      </c>
    </row>
    <row r="86">
      <c r="A86" t="n">
        <v>85</v>
      </c>
      <c r="B86" t="inlineStr">
        <is>
          <t>1 — Strategies</t>
        </is>
      </c>
      <c r="C86" t="n">
        <v>9</v>
      </c>
      <c r="D86" t="inlineStr">
        <is>
          <t>Builder Step 1 — Timeframes</t>
        </is>
      </c>
      <c r="E86" t="inlineStr">
        <is>
          <t>Configuration</t>
        </is>
      </c>
      <c r="F86" t="inlineStr">
        <is>
          <t>P1</t>
        </is>
      </c>
      <c r="G86" t="inlineStr">
        <is>
          <t>Select timeframe **5m**.</t>
        </is>
      </c>
      <c r="H86" t="inlineStr">
        <is>
          <t>5m</t>
        </is>
      </c>
      <c r="I86" t="inlineStr">
        <is>
          <t>5m chip active; included in saved strategy.</t>
        </is>
      </c>
      <c r="J86" t="inlineStr">
        <is>
          <t>— Not tested</t>
        </is>
      </c>
      <c r="K86" t="inlineStr">
        <is>
          <t>— Not tested</t>
        </is>
      </c>
      <c r="L86" t="inlineStr">
        <is>
          <t>— Not tested</t>
        </is>
      </c>
    </row>
    <row r="87">
      <c r="A87" t="n">
        <v>86</v>
      </c>
      <c r="B87" t="inlineStr">
        <is>
          <t>1 — Strategies</t>
        </is>
      </c>
      <c r="C87" t="n">
        <v>9</v>
      </c>
      <c r="D87" t="inlineStr">
        <is>
          <t>Builder Step 1 — Timeframes</t>
        </is>
      </c>
      <c r="E87" t="inlineStr">
        <is>
          <t>Configuration</t>
        </is>
      </c>
      <c r="F87" t="inlineStr">
        <is>
          <t>P1</t>
        </is>
      </c>
      <c r="G87" t="inlineStr">
        <is>
          <t>Select timeframe **15m**.</t>
        </is>
      </c>
      <c r="H87" t="inlineStr">
        <is>
          <t>15m</t>
        </is>
      </c>
      <c r="I87" t="inlineStr">
        <is>
          <t>15m chip active; included in saved strategy.</t>
        </is>
      </c>
      <c r="J87" t="inlineStr">
        <is>
          <t>— Not tested</t>
        </is>
      </c>
      <c r="K87" t="inlineStr">
        <is>
          <t>— Not tested</t>
        </is>
      </c>
      <c r="L87" t="inlineStr">
        <is>
          <t>— Not tested</t>
        </is>
      </c>
    </row>
    <row r="88">
      <c r="A88" t="n">
        <v>87</v>
      </c>
      <c r="B88" t="inlineStr">
        <is>
          <t>1 — Strategies</t>
        </is>
      </c>
      <c r="C88" t="n">
        <v>9</v>
      </c>
      <c r="D88" t="inlineStr">
        <is>
          <t>Builder Step 1 — Timeframes</t>
        </is>
      </c>
      <c r="E88" t="inlineStr">
        <is>
          <t>Configuration</t>
        </is>
      </c>
      <c r="F88" t="inlineStr">
        <is>
          <t>P1</t>
        </is>
      </c>
      <c r="G88" t="inlineStr">
        <is>
          <t>Select timeframe **30m**.</t>
        </is>
      </c>
      <c r="H88" t="inlineStr">
        <is>
          <t>30m</t>
        </is>
      </c>
      <c r="I88" t="inlineStr">
        <is>
          <t>30m chip active; included in saved strategy.</t>
        </is>
      </c>
      <c r="J88" t="inlineStr">
        <is>
          <t>— Not tested</t>
        </is>
      </c>
      <c r="K88" t="inlineStr">
        <is>
          <t>— Not tested</t>
        </is>
      </c>
      <c r="L88" t="inlineStr">
        <is>
          <t>— Not tested</t>
        </is>
      </c>
    </row>
    <row r="89">
      <c r="A89" t="n">
        <v>88</v>
      </c>
      <c r="B89" t="inlineStr">
        <is>
          <t>1 — Strategies</t>
        </is>
      </c>
      <c r="C89" t="n">
        <v>9</v>
      </c>
      <c r="D89" t="inlineStr">
        <is>
          <t>Builder Step 1 — Timeframes</t>
        </is>
      </c>
      <c r="E89" t="inlineStr">
        <is>
          <t>Configuration</t>
        </is>
      </c>
      <c r="F89" t="inlineStr">
        <is>
          <t>P1</t>
        </is>
      </c>
      <c r="G89" t="inlineStr">
        <is>
          <t>Select timeframe **1H**.</t>
        </is>
      </c>
      <c r="H89" t="inlineStr">
        <is>
          <t>1H</t>
        </is>
      </c>
      <c r="I89" t="inlineStr">
        <is>
          <t>1H chip active; included in saved strategy.</t>
        </is>
      </c>
      <c r="J89" t="inlineStr">
        <is>
          <t>— Not tested</t>
        </is>
      </c>
      <c r="K89" t="inlineStr">
        <is>
          <t>— Not tested</t>
        </is>
      </c>
      <c r="L89" t="inlineStr">
        <is>
          <t>— Not tested</t>
        </is>
      </c>
    </row>
    <row r="90">
      <c r="A90" t="n">
        <v>89</v>
      </c>
      <c r="B90" t="inlineStr">
        <is>
          <t>1 — Strategies</t>
        </is>
      </c>
      <c r="C90" t="n">
        <v>9</v>
      </c>
      <c r="D90" t="inlineStr">
        <is>
          <t>Builder Step 1 — Timeframes</t>
        </is>
      </c>
      <c r="E90" t="inlineStr">
        <is>
          <t>Configuration</t>
        </is>
      </c>
      <c r="F90" t="inlineStr">
        <is>
          <t>P1</t>
        </is>
      </c>
      <c r="G90" t="inlineStr">
        <is>
          <t>Select timeframe **4H**.</t>
        </is>
      </c>
      <c r="H90" t="inlineStr">
        <is>
          <t>4H</t>
        </is>
      </c>
      <c r="I90" t="inlineStr">
        <is>
          <t>4H chip active; included in saved strategy.</t>
        </is>
      </c>
      <c r="J90" t="inlineStr">
        <is>
          <t>— Not tested</t>
        </is>
      </c>
      <c r="K90" t="inlineStr">
        <is>
          <t>— Not tested</t>
        </is>
      </c>
      <c r="L90" t="inlineStr">
        <is>
          <t>— Not tested</t>
        </is>
      </c>
    </row>
    <row r="91">
      <c r="A91" t="n">
        <v>90</v>
      </c>
      <c r="B91" t="inlineStr">
        <is>
          <t>1 — Strategies</t>
        </is>
      </c>
      <c r="C91" t="n">
        <v>9</v>
      </c>
      <c r="D91" t="inlineStr">
        <is>
          <t>Builder Step 1 — Timeframes</t>
        </is>
      </c>
      <c r="E91" t="inlineStr">
        <is>
          <t>Configuration</t>
        </is>
      </c>
      <c r="F91" t="inlineStr">
        <is>
          <t>P1</t>
        </is>
      </c>
      <c r="G91" t="inlineStr">
        <is>
          <t>Select timeframe **1D**.</t>
        </is>
      </c>
      <c r="H91" t="inlineStr">
        <is>
          <t>1D</t>
        </is>
      </c>
      <c r="I91" t="inlineStr">
        <is>
          <t>1D chip active; included in saved strategy.</t>
        </is>
      </c>
      <c r="J91" t="inlineStr">
        <is>
          <t>— Not tested</t>
        </is>
      </c>
      <c r="K91" t="inlineStr">
        <is>
          <t>— Not tested</t>
        </is>
      </c>
      <c r="L91" t="inlineStr">
        <is>
          <t>— Not tested</t>
        </is>
      </c>
    </row>
    <row r="92">
      <c r="A92" t="n">
        <v>91</v>
      </c>
      <c r="B92" t="inlineStr">
        <is>
          <t>1 — Strategies</t>
        </is>
      </c>
      <c r="C92" t="n">
        <v>9</v>
      </c>
      <c r="D92" t="inlineStr">
        <is>
          <t>Builder Step 1 — Timeframes</t>
        </is>
      </c>
      <c r="E92" t="inlineStr">
        <is>
          <t>Configuration</t>
        </is>
      </c>
      <c r="F92" t="inlineStr">
        <is>
          <t>P1</t>
        </is>
      </c>
      <c r="G92" t="inlineStr">
        <is>
          <t>Select timeframe **1W**.</t>
        </is>
      </c>
      <c r="H92" t="inlineStr">
        <is>
          <t>1W</t>
        </is>
      </c>
      <c r="I92" t="inlineStr">
        <is>
          <t>1W chip active; included in saved strategy.</t>
        </is>
      </c>
      <c r="J92" t="inlineStr">
        <is>
          <t>— Not tested</t>
        </is>
      </c>
      <c r="K92" t="inlineStr">
        <is>
          <t>— Not tested</t>
        </is>
      </c>
      <c r="L92" t="inlineStr">
        <is>
          <t>— Not tested</t>
        </is>
      </c>
    </row>
    <row r="93">
      <c r="A93" t="n">
        <v>92</v>
      </c>
      <c r="B93" t="inlineStr">
        <is>
          <t>1 — Strategies</t>
        </is>
      </c>
      <c r="C93" t="n">
        <v>9</v>
      </c>
      <c r="D93" t="inlineStr">
        <is>
          <t>Builder Step 1 — Timeframes</t>
        </is>
      </c>
      <c r="E93" t="inlineStr">
        <is>
          <t>Configuration</t>
        </is>
      </c>
      <c r="F93" t="inlineStr">
        <is>
          <t>P1</t>
        </is>
      </c>
      <c r="G93" t="inlineStr">
        <is>
          <t>Select timeframe **1M**.</t>
        </is>
      </c>
      <c r="H93" t="inlineStr">
        <is>
          <t>1M</t>
        </is>
      </c>
      <c r="I93" t="inlineStr">
        <is>
          <t>1M chip active; included in saved strategy.</t>
        </is>
      </c>
      <c r="J93" t="inlineStr">
        <is>
          <t>— Not tested</t>
        </is>
      </c>
      <c r="K93" t="inlineStr">
        <is>
          <t>— Not tested</t>
        </is>
      </c>
      <c r="L93" t="inlineStr">
        <is>
          <t>— Not tested</t>
        </is>
      </c>
    </row>
    <row r="94">
      <c r="A94" t="n">
        <v>93</v>
      </c>
      <c r="B94" t="inlineStr">
        <is>
          <t>1 — Strategies</t>
        </is>
      </c>
      <c r="C94" t="n">
        <v>9</v>
      </c>
      <c r="D94" t="inlineStr">
        <is>
          <t>Builder Step 1 — Timeframes</t>
        </is>
      </c>
      <c r="E94" t="inlineStr">
        <is>
          <t>Input matrix</t>
        </is>
      </c>
      <c r="F94" t="inlineStr">
        <is>
          <t>P1</t>
        </is>
      </c>
      <c r="G94" t="inlineStr">
        <is>
          <t>Select 6 timeframes (max).</t>
        </is>
      </c>
      <c r="H94" t="inlineStr">
        <is>
          <t>6 TFs</t>
        </is>
      </c>
      <c r="I94" t="inlineStr">
        <is>
          <t>6 chips active.</t>
        </is>
      </c>
      <c r="J94" t="inlineStr">
        <is>
          <t>— Not tested</t>
        </is>
      </c>
      <c r="K94" t="inlineStr">
        <is>
          <t>— Not tested</t>
        </is>
      </c>
      <c r="L94" t="inlineStr">
        <is>
          <t>— Not tested</t>
        </is>
      </c>
    </row>
    <row r="95">
      <c r="A95" t="n">
        <v>94</v>
      </c>
      <c r="B95" t="inlineStr">
        <is>
          <t>1 — Strategies</t>
        </is>
      </c>
      <c r="C95" t="n">
        <v>9</v>
      </c>
      <c r="D95" t="inlineStr">
        <is>
          <t>Builder Step 1 — Timeframes</t>
        </is>
      </c>
      <c r="E95" t="inlineStr">
        <is>
          <t>Input matrix</t>
        </is>
      </c>
      <c r="F95" t="inlineStr">
        <is>
          <t>P0</t>
        </is>
      </c>
      <c r="G95" t="inlineStr">
        <is>
          <t>Try 7th timeframe.</t>
        </is>
      </c>
      <c r="H95" t="inlineStr">
        <is>
          <t>7th TF</t>
        </is>
      </c>
      <c r="I95" t="inlineStr">
        <is>
          <t>Blocked at 6 max.</t>
        </is>
      </c>
      <c r="J95" t="inlineStr">
        <is>
          <t>— Not tested</t>
        </is>
      </c>
      <c r="K95" t="inlineStr">
        <is>
          <t>— Not tested</t>
        </is>
      </c>
      <c r="L95" t="inlineStr">
        <is>
          <t>— Not tested</t>
        </is>
      </c>
    </row>
    <row r="96">
      <c r="A96" t="n">
        <v>95</v>
      </c>
      <c r="B96" t="inlineStr">
        <is>
          <t>1 — Strategies</t>
        </is>
      </c>
      <c r="C96" t="n">
        <v>9</v>
      </c>
      <c r="D96" t="inlineStr">
        <is>
          <t>Builder Step 1 — Timeframes</t>
        </is>
      </c>
      <c r="E96" t="inlineStr">
        <is>
          <t>Input matrix</t>
        </is>
      </c>
      <c r="F96" t="inlineStr">
        <is>
          <t>P1</t>
        </is>
      </c>
      <c r="G96" t="inlineStr">
        <is>
          <t>Custom TF: add 7m.</t>
        </is>
      </c>
      <c r="H96" t="inlineStr">
        <is>
          <t>7 + minutes</t>
        </is>
      </c>
      <c r="I96" t="inlineStr">
        <is>
          <t>7m appears in list and selection.</t>
        </is>
      </c>
      <c r="J96" t="inlineStr">
        <is>
          <t>— Not tested</t>
        </is>
      </c>
      <c r="K96" t="inlineStr">
        <is>
          <t>— Not tested</t>
        </is>
      </c>
      <c r="L96" t="inlineStr">
        <is>
          <t>— Not tested</t>
        </is>
      </c>
    </row>
    <row r="97">
      <c r="A97" t="n">
        <v>96</v>
      </c>
      <c r="B97" t="inlineStr">
        <is>
          <t>1 — Strategies</t>
        </is>
      </c>
      <c r="C97" t="n">
        <v>9</v>
      </c>
      <c r="D97" t="inlineStr">
        <is>
          <t>Builder Step 1 — Timeframes</t>
        </is>
      </c>
      <c r="E97" t="inlineStr">
        <is>
          <t>Input matrix</t>
        </is>
      </c>
      <c r="F97" t="inlineStr">
        <is>
          <t>P1</t>
        </is>
      </c>
      <c r="G97" t="inlineStr">
        <is>
          <t>Custom TF: add 3H.</t>
        </is>
      </c>
      <c r="H97" t="inlineStr">
        <is>
          <t>3 + hours</t>
        </is>
      </c>
      <c r="I97" t="inlineStr">
        <is>
          <t>3H works.</t>
        </is>
      </c>
      <c r="J97" t="inlineStr">
        <is>
          <t>— Not tested</t>
        </is>
      </c>
      <c r="K97" t="inlineStr">
        <is>
          <t>— Not tested</t>
        </is>
      </c>
      <c r="L97" t="inlineStr">
        <is>
          <t>— Not tested</t>
        </is>
      </c>
    </row>
    <row r="98">
      <c r="A98" t="n">
        <v>97</v>
      </c>
      <c r="B98" t="inlineStr">
        <is>
          <t>1 — Strategies</t>
        </is>
      </c>
      <c r="C98" t="n">
        <v>9</v>
      </c>
      <c r="D98" t="inlineStr">
        <is>
          <t>Builder Step 1 — Timeframes</t>
        </is>
      </c>
      <c r="E98" t="inlineStr">
        <is>
          <t>Input matrix</t>
        </is>
      </c>
      <c r="F98" t="inlineStr">
        <is>
          <t>P1</t>
        </is>
      </c>
      <c r="G98" t="inlineStr">
        <is>
          <t>Custom TF: invalid 0 minutes.</t>
        </is>
      </c>
      <c r="H98" t="inlineStr">
        <is>
          <t>0m</t>
        </is>
      </c>
      <c r="I98" t="inlineStr">
        <is>
          <t>Rejected; not added.</t>
        </is>
      </c>
      <c r="J98" t="inlineStr">
        <is>
          <t>— Not tested</t>
        </is>
      </c>
      <c r="K98" t="inlineStr">
        <is>
          <t>— Not tested</t>
        </is>
      </c>
      <c r="L98" t="inlineStr">
        <is>
          <t>— Not tested</t>
        </is>
      </c>
    </row>
    <row r="99">
      <c r="A99" t="n">
        <v>98</v>
      </c>
      <c r="B99" t="inlineStr">
        <is>
          <t>1 — Strategies</t>
        </is>
      </c>
      <c r="C99" t="n">
        <v>9</v>
      </c>
      <c r="D99" t="inlineStr">
        <is>
          <t>Builder Step 1 — Timeframes</t>
        </is>
      </c>
      <c r="E99" t="inlineStr">
        <is>
          <t>Input matrix</t>
        </is>
      </c>
      <c r="F99" t="inlineStr">
        <is>
          <t>P2</t>
        </is>
      </c>
      <c r="G99" t="inlineStr">
        <is>
          <t>Custom TF: duplicate 5m.</t>
        </is>
      </c>
      <c r="H99" t="inlineStr">
        <is>
          <t>5m again</t>
        </is>
      </c>
      <c r="I99" t="inlineStr">
        <is>
          <t>Not duplicated.</t>
        </is>
      </c>
      <c r="J99" t="inlineStr">
        <is>
          <t>— Not tested</t>
        </is>
      </c>
      <c r="K99" t="inlineStr">
        <is>
          <t>— Not tested</t>
        </is>
      </c>
      <c r="L99" t="inlineStr">
        <is>
          <t>— Not tested</t>
        </is>
      </c>
    </row>
    <row r="100">
      <c r="A100" t="n">
        <v>99</v>
      </c>
      <c r="B100" t="inlineStr">
        <is>
          <t>1 — Strategies</t>
        </is>
      </c>
      <c r="C100" t="n">
        <v>9</v>
      </c>
      <c r="D100" t="inlineStr">
        <is>
          <t>Builder Step 1 — Timeframes</t>
        </is>
      </c>
      <c r="E100" t="inlineStr">
        <is>
          <t>Input matrix</t>
        </is>
      </c>
      <c r="F100" t="inlineStr">
        <is>
          <t>P0</t>
        </is>
      </c>
      <c r="G100" t="inlineStr">
        <is>
          <t>Deselect all timeframes → Next.</t>
        </is>
      </c>
      <c r="H100" t="inlineStr">
        <is>
          <t>none</t>
        </is>
      </c>
      <c r="I100" t="inlineStr">
        <is>
          <t>Blocked; timeframes required.</t>
        </is>
      </c>
      <c r="J100" t="inlineStr">
        <is>
          <t>— Not tested</t>
        </is>
      </c>
      <c r="K100" t="inlineStr">
        <is>
          <t>— Not tested</t>
        </is>
      </c>
      <c r="L100" t="inlineStr">
        <is>
          <t>— Not tested</t>
        </is>
      </c>
    </row>
    <row r="101">
      <c r="A101" t="n">
        <v>100</v>
      </c>
      <c r="B101" t="inlineStr">
        <is>
          <t>1 — Strategies</t>
        </is>
      </c>
      <c r="C101" t="n">
        <v>10</v>
      </c>
      <c r="D101" t="inlineStr">
        <is>
          <t>Builder Step 1 — Cover Images</t>
        </is>
      </c>
      <c r="E101" t="inlineStr">
        <is>
          <t>Edge</t>
        </is>
      </c>
      <c r="F101" t="inlineStr">
        <is>
          <t>P1</t>
        </is>
      </c>
      <c r="G101" t="inlineStr">
        <is>
          <t>Upload 1 valid PNG/JPG.</t>
        </is>
      </c>
      <c r="H101" t="inlineStr">
        <is>
          <t>small image</t>
        </is>
      </c>
      <c r="I101" t="inlineStr">
        <is>
          <t>Thumbnail appears.</t>
        </is>
      </c>
      <c r="J101" t="inlineStr">
        <is>
          <t>— Not tested</t>
        </is>
      </c>
      <c r="K101" t="inlineStr">
        <is>
          <t>— Not tested</t>
        </is>
      </c>
      <c r="L101" t="inlineStr">
        <is>
          <t>— Not tested</t>
        </is>
      </c>
    </row>
    <row r="102">
      <c r="A102" t="n">
        <v>101</v>
      </c>
      <c r="B102" t="inlineStr">
        <is>
          <t>1 — Strategies</t>
        </is>
      </c>
      <c r="C102" t="n">
        <v>10</v>
      </c>
      <c r="D102" t="inlineStr">
        <is>
          <t>Builder Step 1 — Cover Images</t>
        </is>
      </c>
      <c r="E102" t="inlineStr">
        <is>
          <t>Edge</t>
        </is>
      </c>
      <c r="F102" t="inlineStr">
        <is>
          <t>P1</t>
        </is>
      </c>
      <c r="G102" t="inlineStr">
        <is>
          <t>Upload 6 images (max).</t>
        </is>
      </c>
      <c r="H102" t="inlineStr">
        <is>
          <t>6 images</t>
        </is>
      </c>
      <c r="I102" t="inlineStr">
        <is>
          <t>6 thumbnails.</t>
        </is>
      </c>
      <c r="J102" t="inlineStr">
        <is>
          <t>— Not tested</t>
        </is>
      </c>
      <c r="K102" t="inlineStr">
        <is>
          <t>— Not tested</t>
        </is>
      </c>
      <c r="L102" t="inlineStr">
        <is>
          <t>— Not tested</t>
        </is>
      </c>
    </row>
    <row r="103">
      <c r="A103" t="n">
        <v>102</v>
      </c>
      <c r="B103" t="inlineStr">
        <is>
          <t>1 — Strategies</t>
        </is>
      </c>
      <c r="C103" t="n">
        <v>10</v>
      </c>
      <c r="D103" t="inlineStr">
        <is>
          <t>Builder Step 1 — Cover Images</t>
        </is>
      </c>
      <c r="E103" t="inlineStr">
        <is>
          <t>Edge</t>
        </is>
      </c>
      <c r="F103" t="inlineStr">
        <is>
          <t>P1</t>
        </is>
      </c>
      <c r="G103" t="inlineStr">
        <is>
          <t>Try 7th image.</t>
        </is>
      </c>
      <c r="H103" t="inlineStr">
        <is>
          <t>7th file</t>
        </is>
      </c>
      <c r="I103" t="inlineStr">
        <is>
          <t>Blocked at 6 max.</t>
        </is>
      </c>
      <c r="J103" t="inlineStr">
        <is>
          <t>— Not tested</t>
        </is>
      </c>
      <c r="K103" t="inlineStr">
        <is>
          <t>— Not tested</t>
        </is>
      </c>
      <c r="L103" t="inlineStr">
        <is>
          <t>— Not tested</t>
        </is>
      </c>
    </row>
    <row r="104">
      <c r="A104" t="n">
        <v>103</v>
      </c>
      <c r="B104" t="inlineStr">
        <is>
          <t>1 — Strategies</t>
        </is>
      </c>
      <c r="C104" t="n">
        <v>10</v>
      </c>
      <c r="D104" t="inlineStr">
        <is>
          <t>Builder Step 1 — Cover Images</t>
        </is>
      </c>
      <c r="E104" t="inlineStr">
        <is>
          <t>Edge</t>
        </is>
      </c>
      <c r="F104" t="inlineStr">
        <is>
          <t>P1</t>
        </is>
      </c>
      <c r="G104" t="inlineStr">
        <is>
          <t>Upload very large image (&gt;5MB).</t>
        </is>
      </c>
      <c r="H104" t="inlineStr">
        <is>
          <t>large file</t>
        </is>
      </c>
      <c r="I104" t="inlineStr">
        <is>
          <t>Compresses or shows error alert; no hang.</t>
        </is>
      </c>
      <c r="J104" t="inlineStr">
        <is>
          <t>— Not tested</t>
        </is>
      </c>
      <c r="K104" t="inlineStr">
        <is>
          <t>— Not tested</t>
        </is>
      </c>
      <c r="L104" t="inlineStr">
        <is>
          <t>— Not tested</t>
        </is>
      </c>
    </row>
    <row r="105">
      <c r="A105" t="n">
        <v>104</v>
      </c>
      <c r="B105" t="inlineStr">
        <is>
          <t>1 — Strategies</t>
        </is>
      </c>
      <c r="C105" t="n">
        <v>10</v>
      </c>
      <c r="D105" t="inlineStr">
        <is>
          <t>Builder Step 1 — Cover Images</t>
        </is>
      </c>
      <c r="E105" t="inlineStr">
        <is>
          <t>Edge</t>
        </is>
      </c>
      <c r="F105" t="inlineStr">
        <is>
          <t>P1</t>
        </is>
      </c>
      <c r="G105" t="inlineStr">
        <is>
          <t>Upload non-image file renamed .png.</t>
        </is>
      </c>
      <c r="H105" t="inlineStr">
        <is>
          <t>fake file</t>
        </is>
      </c>
      <c r="I105" t="inlineStr">
        <is>
          <t>Error message; rejected.</t>
        </is>
      </c>
      <c r="J105" t="inlineStr">
        <is>
          <t>— Not tested</t>
        </is>
      </c>
      <c r="K105" t="inlineStr">
        <is>
          <t>— Not tested</t>
        </is>
      </c>
      <c r="L105" t="inlineStr">
        <is>
          <t>— Not tested</t>
        </is>
      </c>
    </row>
    <row r="106">
      <c r="A106" t="n">
        <v>105</v>
      </c>
      <c r="B106" t="inlineStr">
        <is>
          <t>1 — Strategies</t>
        </is>
      </c>
      <c r="C106" t="n">
        <v>10</v>
      </c>
      <c r="D106" t="inlineStr">
        <is>
          <t>Builder Step 1 — Cover Images</t>
        </is>
      </c>
      <c r="E106" t="inlineStr">
        <is>
          <t>Edge</t>
        </is>
      </c>
      <c r="F106" t="inlineStr">
        <is>
          <t>P2</t>
        </is>
      </c>
      <c r="G106" t="inlineStr">
        <is>
          <t>Remove image from gallery.</t>
        </is>
      </c>
      <c r="H106" t="inlineStr">
        <is>
          <t>—</t>
        </is>
      </c>
      <c r="I106" t="inlineStr">
        <is>
          <t>Image removed.</t>
        </is>
      </c>
      <c r="J106" t="inlineStr">
        <is>
          <t>— Not tested</t>
        </is>
      </c>
      <c r="K106" t="inlineStr">
        <is>
          <t>— Not tested</t>
        </is>
      </c>
      <c r="L106" t="inlineStr">
        <is>
          <t>— Not tested</t>
        </is>
      </c>
    </row>
    <row r="107">
      <c r="A107" t="n">
        <v>106</v>
      </c>
      <c r="B107" t="inlineStr">
        <is>
          <t>1 — Strategies</t>
        </is>
      </c>
      <c r="C107" t="n">
        <v>10</v>
      </c>
      <c r="D107" t="inlineStr">
        <is>
          <t>Builder Step 1 — Cover Images</t>
        </is>
      </c>
      <c r="E107" t="inlineStr">
        <is>
          <t>Edge</t>
        </is>
      </c>
      <c r="F107" t="inlineStr">
        <is>
          <t>P2</t>
        </is>
      </c>
      <c r="G107" t="inlineStr">
        <is>
          <t>Click image for preview if supported.</t>
        </is>
      </c>
      <c r="H107" t="inlineStr">
        <is>
          <t>—</t>
        </is>
      </c>
      <c r="I107" t="inlineStr">
        <is>
          <t>Preview modal opens.</t>
        </is>
      </c>
      <c r="J107" t="inlineStr">
        <is>
          <t>— Not tested</t>
        </is>
      </c>
      <c r="K107" t="inlineStr">
        <is>
          <t>— Not tested</t>
        </is>
      </c>
      <c r="L107" t="inlineStr">
        <is>
          <t>— Not tested</t>
        </is>
      </c>
    </row>
    <row r="108">
      <c r="A108" t="n">
        <v>107</v>
      </c>
      <c r="B108" t="inlineStr">
        <is>
          <t>1 — Strategies</t>
        </is>
      </c>
      <c r="C108" t="n">
        <v>11</v>
      </c>
      <c r="D108" t="inlineStr">
        <is>
          <t>Builder Step 2 — Canvas Structure</t>
        </is>
      </c>
      <c r="E108" t="inlineStr">
        <is>
          <t>Structure</t>
        </is>
      </c>
      <c r="F108" t="inlineStr">
        <is>
          <t>P0</t>
        </is>
      </c>
      <c r="G108" t="inlineStr">
        <is>
          <t>Empty canvas initial state.</t>
        </is>
      </c>
      <c r="H108" t="inlineStr">
        <is>
          <t>—</t>
        </is>
      </c>
      <c r="I108" t="inlineStr">
        <is>
          <t>Grid/background; palette visible.</t>
        </is>
      </c>
      <c r="J108" t="inlineStr">
        <is>
          <t>— Not tested</t>
        </is>
      </c>
      <c r="K108" t="inlineStr">
        <is>
          <t>— Not tested</t>
        </is>
      </c>
      <c r="L108" t="inlineStr">
        <is>
          <t>— Not tested</t>
        </is>
      </c>
    </row>
    <row r="109">
      <c r="A109" t="n">
        <v>108</v>
      </c>
      <c r="B109" t="inlineStr">
        <is>
          <t>1 — Strategies</t>
        </is>
      </c>
      <c r="C109" t="n">
        <v>11</v>
      </c>
      <c r="D109" t="inlineStr">
        <is>
          <t>Builder Step 2 — Canvas Structure</t>
        </is>
      </c>
      <c r="E109" t="inlineStr">
        <is>
          <t>Structure</t>
        </is>
      </c>
      <c r="F109" t="inlineStr">
        <is>
          <t>P2</t>
        </is>
      </c>
      <c r="G109" t="inlineStr">
        <is>
          <t>Collapse palette panel.</t>
        </is>
      </c>
      <c r="H109" t="inlineStr">
        <is>
          <t>—</t>
        </is>
      </c>
      <c r="I109" t="inlineStr">
        <is>
          <t>More canvas space; re-expand works.</t>
        </is>
      </c>
      <c r="J109" t="inlineStr">
        <is>
          <t>— Not tested</t>
        </is>
      </c>
      <c r="K109" t="inlineStr">
        <is>
          <t>— Not tested</t>
        </is>
      </c>
      <c r="L109" t="inlineStr">
        <is>
          <t>— Not tested</t>
        </is>
      </c>
    </row>
    <row r="110">
      <c r="A110" t="n">
        <v>109</v>
      </c>
      <c r="B110" t="inlineStr">
        <is>
          <t>1 — Strategies</t>
        </is>
      </c>
      <c r="C110" t="n">
        <v>11</v>
      </c>
      <c r="D110" t="inlineStr">
        <is>
          <t>Builder Step 2 — Canvas Structure</t>
        </is>
      </c>
      <c r="E110" t="inlineStr">
        <is>
          <t>Structure</t>
        </is>
      </c>
      <c r="F110" t="inlineStr">
        <is>
          <t>P2</t>
        </is>
      </c>
      <c r="G110" t="inlineStr">
        <is>
          <t>Collapse inspector panel.</t>
        </is>
      </c>
      <c r="H110" t="inlineStr">
        <is>
          <t>—</t>
        </is>
      </c>
      <c r="I110" t="inlineStr">
        <is>
          <t>Toggle works.</t>
        </is>
      </c>
      <c r="J110" t="inlineStr">
        <is>
          <t>— Not tested</t>
        </is>
      </c>
      <c r="K110" t="inlineStr">
        <is>
          <t>— Not tested</t>
        </is>
      </c>
      <c r="L110" t="inlineStr">
        <is>
          <t>— Not tested</t>
        </is>
      </c>
    </row>
    <row r="111">
      <c r="A111" t="n">
        <v>110</v>
      </c>
      <c r="B111" t="inlineStr">
        <is>
          <t>1 — Strategies</t>
        </is>
      </c>
      <c r="C111" t="n">
        <v>11</v>
      </c>
      <c r="D111" t="inlineStr">
        <is>
          <t>Builder Step 2 — Canvas Structure</t>
        </is>
      </c>
      <c r="E111" t="inlineStr">
        <is>
          <t>Structure</t>
        </is>
      </c>
      <c r="F111" t="inlineStr">
        <is>
          <t>P2</t>
        </is>
      </c>
      <c r="G111" t="inlineStr">
        <is>
          <t>Collapse minimap.</t>
        </is>
      </c>
      <c r="H111" t="inlineStr">
        <is>
          <t>—</t>
        </is>
      </c>
      <c r="I111" t="inlineStr">
        <is>
          <t>Minimap hides/shows.</t>
        </is>
      </c>
      <c r="J111" t="inlineStr">
        <is>
          <t>— Not tested</t>
        </is>
      </c>
      <c r="K111" t="inlineStr">
        <is>
          <t>— Not tested</t>
        </is>
      </c>
      <c r="L111" t="inlineStr">
        <is>
          <t>— Not tested</t>
        </is>
      </c>
    </row>
    <row r="112">
      <c r="A112" t="n">
        <v>111</v>
      </c>
      <c r="B112" t="inlineStr">
        <is>
          <t>1 — Strategies</t>
        </is>
      </c>
      <c r="C112" t="n">
        <v>11</v>
      </c>
      <c r="D112" t="inlineStr">
        <is>
          <t>Builder Step 2 — Groups &amp; Conditions</t>
        </is>
      </c>
      <c r="E112" t="inlineStr">
        <is>
          <t>Logic</t>
        </is>
      </c>
      <c r="F112" t="inlineStr">
        <is>
          <t>P0</t>
        </is>
      </c>
      <c r="G112" t="inlineStr">
        <is>
          <t>Add group from palette.</t>
        </is>
      </c>
      <c r="H112" t="inlineStr">
        <is>
          <t>—</t>
        </is>
      </c>
      <c r="I112" t="inlineStr">
        <is>
          <t>Group node on canvas.</t>
        </is>
      </c>
      <c r="J112" t="inlineStr">
        <is>
          <t>— Not tested</t>
        </is>
      </c>
      <c r="K112" t="inlineStr">
        <is>
          <t>— Not tested</t>
        </is>
      </c>
      <c r="L112" t="inlineStr">
        <is>
          <t>— Not tested</t>
        </is>
      </c>
    </row>
    <row r="113">
      <c r="A113" t="n">
        <v>112</v>
      </c>
      <c r="B113" t="inlineStr">
        <is>
          <t>1 — Strategies</t>
        </is>
      </c>
      <c r="C113" t="n">
        <v>11</v>
      </c>
      <c r="D113" t="inlineStr">
        <is>
          <t>Builder Step 2 — Groups &amp; Conditions</t>
        </is>
      </c>
      <c r="E113" t="inlineStr">
        <is>
          <t>Logic</t>
        </is>
      </c>
      <c r="F113" t="inlineStr">
        <is>
          <t>P1</t>
        </is>
      </c>
      <c r="G113" t="inlineStr">
        <is>
          <t>Rename group.</t>
        </is>
      </c>
      <c r="H113" t="inlineStr">
        <is>
          <t>new name</t>
        </is>
      </c>
      <c r="I113" t="inlineStr">
        <is>
          <t>Label updates on canvas.</t>
        </is>
      </c>
      <c r="J113" t="inlineStr">
        <is>
          <t>— Not tested</t>
        </is>
      </c>
      <c r="K113" t="inlineStr">
        <is>
          <t>— Not tested</t>
        </is>
      </c>
      <c r="L113" t="inlineStr">
        <is>
          <t>— Not tested</t>
        </is>
      </c>
    </row>
    <row r="114">
      <c r="A114" t="n">
        <v>113</v>
      </c>
      <c r="B114" t="inlineStr">
        <is>
          <t>1 — Strategies</t>
        </is>
      </c>
      <c r="C114" t="n">
        <v>11</v>
      </c>
      <c r="D114" t="inlineStr">
        <is>
          <t>Builder Step 2 — Groups &amp; Conditions</t>
        </is>
      </c>
      <c r="E114" t="inlineStr">
        <is>
          <t>Logic</t>
        </is>
      </c>
      <c r="F114" t="inlineStr">
        <is>
          <t>P0</t>
        </is>
      </c>
      <c r="G114" t="inlineStr">
        <is>
          <t>Add condition inside group.</t>
        </is>
      </c>
      <c r="H114" t="inlineStr">
        <is>
          <t>—</t>
        </is>
      </c>
      <c r="I114" t="inlineStr">
        <is>
          <t>Condition node appears.</t>
        </is>
      </c>
      <c r="J114" t="inlineStr">
        <is>
          <t>— Not tested</t>
        </is>
      </c>
      <c r="K114" t="inlineStr">
        <is>
          <t>— Not tested</t>
        </is>
      </c>
      <c r="L114" t="inlineStr">
        <is>
          <t>— Not tested</t>
        </is>
      </c>
    </row>
    <row r="115">
      <c r="A115" t="n">
        <v>114</v>
      </c>
      <c r="B115" t="inlineStr">
        <is>
          <t>1 — Strategies</t>
        </is>
      </c>
      <c r="C115" t="n">
        <v>11</v>
      </c>
      <c r="D115" t="inlineStr">
        <is>
          <t>Builder Step 2 — Groups &amp; Conditions</t>
        </is>
      </c>
      <c r="E115" t="inlineStr">
        <is>
          <t>Logic</t>
        </is>
      </c>
      <c r="F115" t="inlineStr">
        <is>
          <t>P1</t>
        </is>
      </c>
      <c r="G115" t="inlineStr">
        <is>
          <t>Set condition Mandatory.</t>
        </is>
      </c>
      <c r="H115" t="inlineStr">
        <is>
          <t>—</t>
        </is>
      </c>
      <c r="I115" t="inlineStr">
        <is>
          <t>Green/mandatory styling.</t>
        </is>
      </c>
      <c r="J115" t="inlineStr">
        <is>
          <t>— Not tested</t>
        </is>
      </c>
      <c r="K115" t="inlineStr">
        <is>
          <t>— Not tested</t>
        </is>
      </c>
      <c r="L115" t="inlineStr">
        <is>
          <t>— Not tested</t>
        </is>
      </c>
    </row>
    <row r="116">
      <c r="A116" t="n">
        <v>115</v>
      </c>
      <c r="B116" t="inlineStr">
        <is>
          <t>1 — Strategies</t>
        </is>
      </c>
      <c r="C116" t="n">
        <v>11</v>
      </c>
      <c r="D116" t="inlineStr">
        <is>
          <t>Builder Step 2 — Groups &amp; Conditions</t>
        </is>
      </c>
      <c r="E116" t="inlineStr">
        <is>
          <t>Logic</t>
        </is>
      </c>
      <c r="F116" t="inlineStr">
        <is>
          <t>P1</t>
        </is>
      </c>
      <c r="G116" t="inlineStr">
        <is>
          <t>Set condition Optional.</t>
        </is>
      </c>
      <c r="H116" t="inlineStr">
        <is>
          <t>—</t>
        </is>
      </c>
      <c r="I116" t="inlineStr">
        <is>
          <t>Optional styling.</t>
        </is>
      </c>
      <c r="J116" t="inlineStr">
        <is>
          <t>— Not tested</t>
        </is>
      </c>
      <c r="K116" t="inlineStr">
        <is>
          <t>— Not tested</t>
        </is>
      </c>
      <c r="L116" t="inlineStr">
        <is>
          <t>— Not tested</t>
        </is>
      </c>
    </row>
    <row r="117">
      <c r="A117" t="n">
        <v>116</v>
      </c>
      <c r="B117" t="inlineStr">
        <is>
          <t>1 — Strategies</t>
        </is>
      </c>
      <c r="C117" t="n">
        <v>11</v>
      </c>
      <c r="D117" t="inlineStr">
        <is>
          <t>Builder Step 2 — Groups &amp; Conditions</t>
        </is>
      </c>
      <c r="E117" t="inlineStr">
        <is>
          <t>Logic</t>
        </is>
      </c>
      <c r="F117" t="inlineStr">
        <is>
          <t>P1</t>
        </is>
      </c>
      <c r="G117" t="inlineStr">
        <is>
          <t>Set condition Invalidate.</t>
        </is>
      </c>
      <c r="H117" t="inlineStr">
        <is>
          <t>—</t>
        </is>
      </c>
      <c r="I117" t="inlineStr">
        <is>
          <t>Red/invalidate styling.</t>
        </is>
      </c>
      <c r="J117" t="inlineStr">
        <is>
          <t>— Not tested</t>
        </is>
      </c>
      <c r="K117" t="inlineStr">
        <is>
          <t>— Not tested</t>
        </is>
      </c>
      <c r="L117" t="inlineStr">
        <is>
          <t>— Not tested</t>
        </is>
      </c>
    </row>
    <row r="118">
      <c r="A118" t="n">
        <v>117</v>
      </c>
      <c r="B118" t="inlineStr">
        <is>
          <t>1 — Strategies</t>
        </is>
      </c>
      <c r="C118" t="n">
        <v>11</v>
      </c>
      <c r="D118" t="inlineStr">
        <is>
          <t>Builder Step 2 — Groups &amp; Conditions</t>
        </is>
      </c>
      <c r="E118" t="inlineStr">
        <is>
          <t>Logic</t>
        </is>
      </c>
      <c r="F118" t="inlineStr">
        <is>
          <t>P1</t>
        </is>
      </c>
      <c r="G118" t="inlineStr">
        <is>
          <t>Edit condition title (max ~70 chars).</t>
        </is>
      </c>
      <c r="H118" t="inlineStr">
        <is>
          <t>70 chars</t>
        </is>
      </c>
      <c r="I118" t="inlineStr">
        <is>
          <t>Accepts; displays on node.</t>
        </is>
      </c>
      <c r="J118" t="inlineStr">
        <is>
          <t>— Not tested</t>
        </is>
      </c>
      <c r="K118" t="inlineStr">
        <is>
          <t>— Not tested</t>
        </is>
      </c>
      <c r="L118" t="inlineStr">
        <is>
          <t>— Not tested</t>
        </is>
      </c>
    </row>
    <row r="119">
      <c r="A119" t="n">
        <v>118</v>
      </c>
      <c r="B119" t="inlineStr">
        <is>
          <t>1 — Strategies</t>
        </is>
      </c>
      <c r="C119" t="n">
        <v>11</v>
      </c>
      <c r="D119" t="inlineStr">
        <is>
          <t>Builder Step 2 — Groups &amp; Conditions</t>
        </is>
      </c>
      <c r="E119" t="inlineStr">
        <is>
          <t>Logic</t>
        </is>
      </c>
      <c r="F119" t="inlineStr">
        <is>
          <t>P2</t>
        </is>
      </c>
      <c r="G119" t="inlineStr">
        <is>
          <t>Edit condition description long text.</t>
        </is>
      </c>
      <c r="H119" t="inlineStr">
        <is>
          <t>paragraph</t>
        </is>
      </c>
      <c r="I119" t="inlineStr">
        <is>
          <t>Inspector scrolls; saves.</t>
        </is>
      </c>
      <c r="J119" t="inlineStr">
        <is>
          <t>— Not tested</t>
        </is>
      </c>
      <c r="K119" t="inlineStr">
        <is>
          <t>— Not tested</t>
        </is>
      </c>
      <c r="L119" t="inlineStr">
        <is>
          <t>— Not tested</t>
        </is>
      </c>
    </row>
    <row r="120">
      <c r="A120" t="n">
        <v>119</v>
      </c>
      <c r="B120" t="inlineStr">
        <is>
          <t>1 — Strategies</t>
        </is>
      </c>
      <c r="C120" t="n">
        <v>11</v>
      </c>
      <c r="D120" t="inlineStr">
        <is>
          <t>Builder Step 2 — Groups &amp; Conditions</t>
        </is>
      </c>
      <c r="E120" t="inlineStr">
        <is>
          <t>Logic</t>
        </is>
      </c>
      <c r="F120" t="inlineStr">
        <is>
          <t>P2</t>
        </is>
      </c>
      <c r="G120" t="inlineStr">
        <is>
          <t>Add image to condition.</t>
        </is>
      </c>
      <c r="H120" t="inlineStr">
        <is>
          <t>image</t>
        </is>
      </c>
      <c r="I120" t="inlineStr">
        <is>
          <t>Image attaches to condition.</t>
        </is>
      </c>
      <c r="J120" t="inlineStr">
        <is>
          <t>— Not tested</t>
        </is>
      </c>
      <c r="K120" t="inlineStr">
        <is>
          <t>— Not tested</t>
        </is>
      </c>
      <c r="L120" t="inlineStr">
        <is>
          <t>— Not tested</t>
        </is>
      </c>
    </row>
    <row r="121">
      <c r="A121" t="n">
        <v>120</v>
      </c>
      <c r="B121" t="inlineStr">
        <is>
          <t>1 — Strategies</t>
        </is>
      </c>
      <c r="C121" t="n">
        <v>11</v>
      </c>
      <c r="D121" t="inlineStr">
        <is>
          <t>Builder Step 2 — Groups &amp; Conditions</t>
        </is>
      </c>
      <c r="E121" t="inlineStr">
        <is>
          <t>Logic</t>
        </is>
      </c>
      <c r="F121" t="inlineStr">
        <is>
          <t>P1</t>
        </is>
      </c>
      <c r="G121" t="inlineStr">
        <is>
          <t>Delete condition.</t>
        </is>
      </c>
      <c r="H121" t="inlineStr">
        <is>
          <t>Delete key</t>
        </is>
      </c>
      <c r="I121" t="inlineStr">
        <is>
          <t>Node removed.</t>
        </is>
      </c>
      <c r="J121" t="inlineStr">
        <is>
          <t>— Not tested</t>
        </is>
      </c>
      <c r="K121" t="inlineStr">
        <is>
          <t>— Not tested</t>
        </is>
      </c>
      <c r="L121" t="inlineStr">
        <is>
          <t>— Not tested</t>
        </is>
      </c>
    </row>
    <row r="122">
      <c r="A122" t="n">
        <v>121</v>
      </c>
      <c r="B122" t="inlineStr">
        <is>
          <t>1 — Strategies</t>
        </is>
      </c>
      <c r="C122" t="n">
        <v>11</v>
      </c>
      <c r="D122" t="inlineStr">
        <is>
          <t>Builder Step 2 — Groups &amp; Conditions</t>
        </is>
      </c>
      <c r="E122" t="inlineStr">
        <is>
          <t>Logic</t>
        </is>
      </c>
      <c r="F122" t="inlineStr">
        <is>
          <t>P1</t>
        </is>
      </c>
      <c r="G122" t="inlineStr">
        <is>
          <t>Delete group with children.</t>
        </is>
      </c>
      <c r="H122" t="inlineStr">
        <is>
          <t>—</t>
        </is>
      </c>
      <c r="I122" t="inlineStr">
        <is>
          <t>Group and children removed or confirm.</t>
        </is>
      </c>
      <c r="J122" t="inlineStr">
        <is>
          <t>— Not tested</t>
        </is>
      </c>
      <c r="K122" t="inlineStr">
        <is>
          <t>— Not tested</t>
        </is>
      </c>
      <c r="L122" t="inlineStr">
        <is>
          <t>— Not tested</t>
        </is>
      </c>
    </row>
    <row r="123">
      <c r="A123" t="n">
        <v>122</v>
      </c>
      <c r="B123" t="inlineStr">
        <is>
          <t>1 — Strategies</t>
        </is>
      </c>
      <c r="C123" t="n">
        <v>11</v>
      </c>
      <c r="D123" t="inlineStr">
        <is>
          <t>Builder Step 2 — Groups &amp; Conditions</t>
        </is>
      </c>
      <c r="E123" t="inlineStr">
        <is>
          <t>Logic</t>
        </is>
      </c>
      <c r="F123" t="inlineStr">
        <is>
          <t>P2</t>
        </is>
      </c>
      <c r="G123" t="inlineStr">
        <is>
          <t>Connect two nodes with edge if supported.</t>
        </is>
      </c>
      <c r="H123" t="inlineStr">
        <is>
          <t>—</t>
        </is>
      </c>
      <c r="I123" t="inlineStr">
        <is>
          <t>Edge line visible.</t>
        </is>
      </c>
      <c r="J123" t="inlineStr">
        <is>
          <t>— Not tested</t>
        </is>
      </c>
      <c r="K123" t="inlineStr">
        <is>
          <t>— Not tested</t>
        </is>
      </c>
      <c r="L123" t="inlineStr">
        <is>
          <t>— Not tested</t>
        </is>
      </c>
    </row>
    <row r="124">
      <c r="A124" t="n">
        <v>123</v>
      </c>
      <c r="B124" t="inlineStr">
        <is>
          <t>1 — Strategies</t>
        </is>
      </c>
      <c r="C124" t="n">
        <v>11</v>
      </c>
      <c r="D124" t="inlineStr">
        <is>
          <t>Builder Step 2 — Groups &amp; Conditions</t>
        </is>
      </c>
      <c r="E124" t="inlineStr">
        <is>
          <t>Logic</t>
        </is>
      </c>
      <c r="F124" t="inlineStr">
        <is>
          <t>P2</t>
        </is>
      </c>
      <c r="G124" t="inlineStr">
        <is>
          <t>Undo last canvas action if available.</t>
        </is>
      </c>
      <c r="H124" t="inlineStr">
        <is>
          <t>Ctrl+Z</t>
        </is>
      </c>
      <c r="I124" t="inlineStr">
        <is>
          <t>Reverts.</t>
        </is>
      </c>
      <c r="J124" t="inlineStr">
        <is>
          <t>— Not tested</t>
        </is>
      </c>
      <c r="K124" t="inlineStr">
        <is>
          <t>— Not tested</t>
        </is>
      </c>
      <c r="L124" t="inlineStr">
        <is>
          <t>— Not tested</t>
        </is>
      </c>
    </row>
    <row r="125">
      <c r="A125" t="n">
        <v>124</v>
      </c>
      <c r="B125" t="inlineStr">
        <is>
          <t>1 — Strategies</t>
        </is>
      </c>
      <c r="C125" t="n">
        <v>11</v>
      </c>
      <c r="D125" t="inlineStr">
        <is>
          <t>Builder Step 2 — Groups &amp; Conditions</t>
        </is>
      </c>
      <c r="E125" t="inlineStr">
        <is>
          <t>Logic</t>
        </is>
      </c>
      <c r="F125" t="inlineStr">
        <is>
          <t>P2</t>
        </is>
      </c>
      <c r="G125" t="inlineStr">
        <is>
          <t>Print/Export flow.</t>
        </is>
      </c>
      <c r="H125" t="inlineStr">
        <is>
          <t>toolbar</t>
        </is>
      </c>
      <c r="I125" t="inlineStr">
        <is>
          <t>Print window or PDF opens.</t>
        </is>
      </c>
      <c r="J125" t="inlineStr">
        <is>
          <t>— Not tested</t>
        </is>
      </c>
      <c r="K125" t="inlineStr">
        <is>
          <t>— Not tested</t>
        </is>
      </c>
      <c r="L125" t="inlineStr">
        <is>
          <t>— Not tested</t>
        </is>
      </c>
    </row>
    <row r="126">
      <c r="A126" t="n">
        <v>125</v>
      </c>
      <c r="B126" t="inlineStr">
        <is>
          <t>1 — Strategies</t>
        </is>
      </c>
      <c r="C126" t="n">
        <v>12</v>
      </c>
      <c r="D126" t="inlineStr">
        <is>
          <t>Builder Step 3 — Trade Tags</t>
        </is>
      </c>
      <c r="E126" t="inlineStr">
        <is>
          <t>Configuration</t>
        </is>
      </c>
      <c r="F126" t="inlineStr">
        <is>
          <t>P0</t>
        </is>
      </c>
      <c r="G126" t="inlineStr">
        <is>
          <t>Add pre-trade tag.</t>
        </is>
      </c>
      <c r="H126" t="inlineStr">
        <is>
          <t>name + type</t>
        </is>
      </c>
      <c r="I126" t="inlineStr">
        <is>
          <t>Appears in pre-trade list.</t>
        </is>
      </c>
      <c r="J126" t="inlineStr">
        <is>
          <t>— Not tested</t>
        </is>
      </c>
      <c r="K126" t="inlineStr">
        <is>
          <t>— Not tested</t>
        </is>
      </c>
      <c r="L126" t="inlineStr">
        <is>
          <t>— Not tested</t>
        </is>
      </c>
    </row>
    <row r="127">
      <c r="A127" t="n">
        <v>126</v>
      </c>
      <c r="B127" t="inlineStr">
        <is>
          <t>1 — Strategies</t>
        </is>
      </c>
      <c r="C127" t="n">
        <v>12</v>
      </c>
      <c r="D127" t="inlineStr">
        <is>
          <t>Builder Step 3 — Trade Tags</t>
        </is>
      </c>
      <c r="E127" t="inlineStr">
        <is>
          <t>Configuration</t>
        </is>
      </c>
      <c r="F127" t="inlineStr">
        <is>
          <t>P0</t>
        </is>
      </c>
      <c r="G127" t="inlineStr">
        <is>
          <t>Add post-trade tag.</t>
        </is>
      </c>
      <c r="H127" t="inlineStr">
        <is>
          <t>—</t>
        </is>
      </c>
      <c r="I127" t="inlineStr">
        <is>
          <t>Post-trade list populated.</t>
        </is>
      </c>
      <c r="J127" t="inlineStr">
        <is>
          <t>— Not tested</t>
        </is>
      </c>
      <c r="K127" t="inlineStr">
        <is>
          <t>— Not tested</t>
        </is>
      </c>
      <c r="L127" t="inlineStr">
        <is>
          <t>— Not tested</t>
        </is>
      </c>
    </row>
    <row r="128">
      <c r="A128" t="n">
        <v>127</v>
      </c>
      <c r="B128" t="inlineStr">
        <is>
          <t>1 — Strategies</t>
        </is>
      </c>
      <c r="C128" t="n">
        <v>12</v>
      </c>
      <c r="D128" t="inlineStr">
        <is>
          <t>Builder Step 3 — Trade Tags</t>
        </is>
      </c>
      <c r="E128" t="inlineStr">
        <is>
          <t>Configuration</t>
        </is>
      </c>
      <c r="F128" t="inlineStr">
        <is>
          <t>P2</t>
        </is>
      </c>
      <c r="G128" t="inlineStr">
        <is>
          <t>Add divider between tags.</t>
        </is>
      </c>
      <c r="H128" t="inlineStr">
        <is>
          <t>—</t>
        </is>
      </c>
      <c r="I128" t="inlineStr">
        <is>
          <t>Visual divider in list.</t>
        </is>
      </c>
      <c r="J128" t="inlineStr">
        <is>
          <t>— Not tested</t>
        </is>
      </c>
      <c r="K128" t="inlineStr">
        <is>
          <t>— Not tested</t>
        </is>
      </c>
      <c r="L128" t="inlineStr">
        <is>
          <t>— Not tested</t>
        </is>
      </c>
    </row>
    <row r="129">
      <c r="A129" t="n">
        <v>128</v>
      </c>
      <c r="B129" t="inlineStr">
        <is>
          <t>1 — Strategies</t>
        </is>
      </c>
      <c r="C129" t="n">
        <v>12</v>
      </c>
      <c r="D129" t="inlineStr">
        <is>
          <t>Builder Step 3 — Trade Tags</t>
        </is>
      </c>
      <c r="E129" t="inlineStr">
        <is>
          <t>Configuration</t>
        </is>
      </c>
      <c r="F129" t="inlineStr">
        <is>
          <t>P1</t>
        </is>
      </c>
      <c r="G129" t="inlineStr">
        <is>
          <t>Variable type: checkbox tag.</t>
        </is>
      </c>
      <c r="H129" t="inlineStr">
        <is>
          <t>checkbox</t>
        </is>
      </c>
      <c r="I129" t="inlineStr">
        <is>
          <t>Renders as checkbox in trade form later.</t>
        </is>
      </c>
      <c r="J129" t="inlineStr">
        <is>
          <t>— Not tested</t>
        </is>
      </c>
      <c r="K129" t="inlineStr">
        <is>
          <t>— Not tested</t>
        </is>
      </c>
      <c r="L129" t="inlineStr">
        <is>
          <t>— Not tested</t>
        </is>
      </c>
    </row>
    <row r="130">
      <c r="A130" t="n">
        <v>129</v>
      </c>
      <c r="B130" t="inlineStr">
        <is>
          <t>1 — Strategies</t>
        </is>
      </c>
      <c r="C130" t="n">
        <v>12</v>
      </c>
      <c r="D130" t="inlineStr">
        <is>
          <t>Builder Step 3 — Trade Tags</t>
        </is>
      </c>
      <c r="E130" t="inlineStr">
        <is>
          <t>Configuration</t>
        </is>
      </c>
      <c r="F130" t="inlineStr">
        <is>
          <t>P1</t>
        </is>
      </c>
      <c r="G130" t="inlineStr">
        <is>
          <t>Variable type: number tag.</t>
        </is>
      </c>
      <c r="H130" t="inlineStr">
        <is>
          <t>number</t>
        </is>
      </c>
      <c r="I130" t="inlineStr">
        <is>
          <t>Numeric input in trade form.</t>
        </is>
      </c>
      <c r="J130" t="inlineStr">
        <is>
          <t>— Not tested</t>
        </is>
      </c>
      <c r="K130" t="inlineStr">
        <is>
          <t>— Not tested</t>
        </is>
      </c>
      <c r="L130" t="inlineStr">
        <is>
          <t>— Not tested</t>
        </is>
      </c>
    </row>
    <row r="131">
      <c r="A131" t="n">
        <v>130</v>
      </c>
      <c r="B131" t="inlineStr">
        <is>
          <t>1 — Strategies</t>
        </is>
      </c>
      <c r="C131" t="n">
        <v>12</v>
      </c>
      <c r="D131" t="inlineStr">
        <is>
          <t>Builder Step 3 — Trade Tags</t>
        </is>
      </c>
      <c r="E131" t="inlineStr">
        <is>
          <t>Configuration</t>
        </is>
      </c>
      <c r="F131" t="inlineStr">
        <is>
          <t>P1</t>
        </is>
      </c>
      <c r="G131" t="inlineStr">
        <is>
          <t>Variable type: text tag.</t>
        </is>
      </c>
      <c r="H131" t="inlineStr">
        <is>
          <t>text</t>
        </is>
      </c>
      <c r="I131" t="inlineStr">
        <is>
          <t>Text input in trade form.</t>
        </is>
      </c>
      <c r="J131" t="inlineStr">
        <is>
          <t>— Not tested</t>
        </is>
      </c>
      <c r="K131" t="inlineStr">
        <is>
          <t>— Not tested</t>
        </is>
      </c>
      <c r="L131" t="inlineStr">
        <is>
          <t>— Not tested</t>
        </is>
      </c>
    </row>
    <row r="132">
      <c r="A132" t="n">
        <v>131</v>
      </c>
      <c r="B132" t="inlineStr">
        <is>
          <t>1 — Strategies</t>
        </is>
      </c>
      <c r="C132" t="n">
        <v>12</v>
      </c>
      <c r="D132" t="inlineStr">
        <is>
          <t>Builder Step 3 — Trade Tags</t>
        </is>
      </c>
      <c r="E132" t="inlineStr">
        <is>
          <t>Configuration</t>
        </is>
      </c>
      <c r="F132" t="inlineStr">
        <is>
          <t>P1</t>
        </is>
      </c>
      <c r="G132" t="inlineStr">
        <is>
          <t>Delete tag.</t>
        </is>
      </c>
      <c r="H132" t="inlineStr">
        <is>
          <t>—</t>
        </is>
      </c>
      <c r="I132" t="inlineStr">
        <is>
          <t>Removed from list.</t>
        </is>
      </c>
      <c r="J132" t="inlineStr">
        <is>
          <t>— Not tested</t>
        </is>
      </c>
      <c r="K132" t="inlineStr">
        <is>
          <t>— Not tested</t>
        </is>
      </c>
      <c r="L132" t="inlineStr">
        <is>
          <t>— Not tested</t>
        </is>
      </c>
    </row>
    <row r="133">
      <c r="A133" t="n">
        <v>132</v>
      </c>
      <c r="B133" t="inlineStr">
        <is>
          <t>1 — Strategies</t>
        </is>
      </c>
      <c r="C133" t="n">
        <v>12</v>
      </c>
      <c r="D133" t="inlineStr">
        <is>
          <t>Builder Step 3 — Trade Tags</t>
        </is>
      </c>
      <c r="E133" t="inlineStr">
        <is>
          <t>Configuration</t>
        </is>
      </c>
      <c r="F133" t="inlineStr">
        <is>
          <t>P2</t>
        </is>
      </c>
      <c r="G133" t="inlineStr">
        <is>
          <t>Reorder tags if drag supported.</t>
        </is>
      </c>
      <c r="H133" t="inlineStr">
        <is>
          <t>—</t>
        </is>
      </c>
      <c r="I133" t="inlineStr">
        <is>
          <t>Order persists on save.</t>
        </is>
      </c>
      <c r="J133" t="inlineStr">
        <is>
          <t>— Not tested</t>
        </is>
      </c>
      <c r="K133" t="inlineStr">
        <is>
          <t>— Not tested</t>
        </is>
      </c>
      <c r="L133" t="inlineStr">
        <is>
          <t>— Not tested</t>
        </is>
      </c>
    </row>
    <row r="134">
      <c r="A134" t="n">
        <v>133</v>
      </c>
      <c r="B134" t="inlineStr">
        <is>
          <t>1 — Strategies</t>
        </is>
      </c>
      <c r="C134" t="n">
        <v>13</v>
      </c>
      <c r="D134" t="inlineStr">
        <is>
          <t>Builder Step 4 — Review &amp; Persistence</t>
        </is>
      </c>
      <c r="E134" t="inlineStr">
        <is>
          <t>Logic</t>
        </is>
      </c>
      <c r="F134" t="inlineStr">
        <is>
          <t>P0</t>
        </is>
      </c>
      <c r="G134" t="inlineStr">
        <is>
          <t>Review: General Info block shows all Step 1 data.</t>
        </is>
      </c>
      <c r="H134" t="inlineStr">
        <is>
          <t>—</t>
        </is>
      </c>
      <c r="I134" t="inlineStr">
        <is>
          <t>Matches inputs.</t>
        </is>
      </c>
      <c r="J134" t="inlineStr">
        <is>
          <t>— Not tested</t>
        </is>
      </c>
      <c r="K134" t="inlineStr">
        <is>
          <t>— Not tested</t>
        </is>
      </c>
      <c r="L134" t="inlineStr">
        <is>
          <t>— Not tested</t>
        </is>
      </c>
    </row>
    <row r="135">
      <c r="A135" t="n">
        <v>134</v>
      </c>
      <c r="B135" t="inlineStr">
        <is>
          <t>1 — Strategies</t>
        </is>
      </c>
      <c r="C135" t="n">
        <v>13</v>
      </c>
      <c r="D135" t="inlineStr">
        <is>
          <t>Builder Step 4 — Review &amp; Persistence</t>
        </is>
      </c>
      <c r="E135" t="inlineStr">
        <is>
          <t>Logic</t>
        </is>
      </c>
      <c r="F135" t="inlineStr">
        <is>
          <t>P0</t>
        </is>
      </c>
      <c r="G135" t="inlineStr">
        <is>
          <t>Review: flow group/condition counts.</t>
        </is>
      </c>
      <c r="H135" t="inlineStr">
        <is>
          <t>—</t>
        </is>
      </c>
      <c r="I135" t="inlineStr">
        <is>
          <t>Match canvas.</t>
        </is>
      </c>
      <c r="J135" t="inlineStr">
        <is>
          <t>— Not tested</t>
        </is>
      </c>
      <c r="K135" t="inlineStr">
        <is>
          <t>— Not tested</t>
        </is>
      </c>
      <c r="L135" t="inlineStr">
        <is>
          <t>— Not tested</t>
        </is>
      </c>
    </row>
    <row r="136">
      <c r="A136" t="n">
        <v>135</v>
      </c>
      <c r="B136" t="inlineStr">
        <is>
          <t>1 — Strategies</t>
        </is>
      </c>
      <c r="C136" t="n">
        <v>13</v>
      </c>
      <c r="D136" t="inlineStr">
        <is>
          <t>Builder Step 4 — Review &amp; Persistence</t>
        </is>
      </c>
      <c r="E136" t="inlineStr">
        <is>
          <t>Logic</t>
        </is>
      </c>
      <c r="F136" t="inlineStr">
        <is>
          <t>P1</t>
        </is>
      </c>
      <c r="G136" t="inlineStr">
        <is>
          <t>Review: readiness checklist red/green.</t>
        </is>
      </c>
      <c r="H136" t="inlineStr">
        <is>
          <t>—</t>
        </is>
      </c>
      <c r="I136" t="inlineStr">
        <is>
          <t>Incomplete items flagged.</t>
        </is>
      </c>
      <c r="J136" t="inlineStr">
        <is>
          <t>— Not tested</t>
        </is>
      </c>
      <c r="K136" t="inlineStr">
        <is>
          <t>— Not tested</t>
        </is>
      </c>
      <c r="L136" t="inlineStr">
        <is>
          <t>— Not tested</t>
        </is>
      </c>
    </row>
    <row r="137">
      <c r="A137" t="n">
        <v>136</v>
      </c>
      <c r="B137" t="inlineStr">
        <is>
          <t>1 — Strategies</t>
        </is>
      </c>
      <c r="C137" t="n">
        <v>13</v>
      </c>
      <c r="D137" t="inlineStr">
        <is>
          <t>Builder Step 4 — Review &amp; Persistence</t>
        </is>
      </c>
      <c r="E137" t="inlineStr">
        <is>
          <t>Logic</t>
        </is>
      </c>
      <c r="F137" t="inlineStr">
        <is>
          <t>P0</t>
        </is>
      </c>
      <c r="G137" t="inlineStr">
        <is>
          <t>Save Strategy → appears in bank.</t>
        </is>
      </c>
      <c r="H137" t="inlineStr">
        <is>
          <t>—</t>
        </is>
      </c>
      <c r="I137" t="inlineStr">
        <is>
          <t>New card visible.</t>
        </is>
      </c>
      <c r="J137" t="inlineStr">
        <is>
          <t>— Not tested</t>
        </is>
      </c>
      <c r="K137" t="inlineStr">
        <is>
          <t>— Not tested</t>
        </is>
      </c>
      <c r="L137" t="inlineStr">
        <is>
          <t>— Not tested</t>
        </is>
      </c>
    </row>
    <row r="138">
      <c r="A138" t="n">
        <v>137</v>
      </c>
      <c r="B138" t="inlineStr">
        <is>
          <t>1 — Strategies</t>
        </is>
      </c>
      <c r="C138" t="n">
        <v>13</v>
      </c>
      <c r="D138" t="inlineStr">
        <is>
          <t>Builder Step 4 — Review &amp; Persistence</t>
        </is>
      </c>
      <c r="E138" t="inlineStr">
        <is>
          <t>Logic</t>
        </is>
      </c>
      <c r="F138" t="inlineStr">
        <is>
          <t>P0</t>
        </is>
      </c>
      <c r="G138" t="inlineStr">
        <is>
          <t>Reload page → edit saved strategy.</t>
        </is>
      </c>
      <c r="H138" t="inlineStr">
        <is>
          <t>—</t>
        </is>
      </c>
      <c r="I138" t="inlineStr">
        <is>
          <t>All 4 steps restore.</t>
        </is>
      </c>
      <c r="J138" t="inlineStr">
        <is>
          <t>— Not tested</t>
        </is>
      </c>
      <c r="K138" t="inlineStr">
        <is>
          <t>— Not tested</t>
        </is>
      </c>
      <c r="L138" t="inlineStr">
        <is>
          <t>— Not tested</t>
        </is>
      </c>
    </row>
    <row r="139">
      <c r="A139" t="n">
        <v>138</v>
      </c>
      <c r="B139" t="inlineStr">
        <is>
          <t>1 — Strategies</t>
        </is>
      </c>
      <c r="C139" t="n">
        <v>13</v>
      </c>
      <c r="D139" t="inlineStr">
        <is>
          <t>Builder Step 4 — Review &amp; Persistence</t>
        </is>
      </c>
      <c r="E139" t="inlineStr">
        <is>
          <t>Logic</t>
        </is>
      </c>
      <c r="F139" t="inlineStr">
        <is>
          <t>P1</t>
        </is>
      </c>
      <c r="G139" t="inlineStr">
        <is>
          <t>Copy strategy → edit copy independently.</t>
        </is>
      </c>
      <c r="H139" t="inlineStr">
        <is>
          <t>—</t>
        </is>
      </c>
      <c r="I139" t="inlineStr">
        <is>
          <t>Changes don't affect original.</t>
        </is>
      </c>
      <c r="J139" t="inlineStr">
        <is>
          <t>— Not tested</t>
        </is>
      </c>
      <c r="K139" t="inlineStr">
        <is>
          <t>— Not tested</t>
        </is>
      </c>
      <c r="L139" t="inlineStr">
        <is>
          <t>— Not tested</t>
        </is>
      </c>
    </row>
    <row r="140">
      <c r="A140" t="n">
        <v>139</v>
      </c>
      <c r="B140" t="inlineStr">
        <is>
          <t>1 — Strategies</t>
        </is>
      </c>
      <c r="C140" t="n">
        <v>13</v>
      </c>
      <c r="D140" t="inlineStr">
        <is>
          <t>Builder Step 4 — Review &amp; Persistence</t>
        </is>
      </c>
      <c r="E140" t="inlineStr">
        <is>
          <t>Logic</t>
        </is>
      </c>
      <c r="F140" t="inlineStr">
        <is>
          <t>P2</t>
        </is>
      </c>
      <c r="G140" t="inlineStr">
        <is>
          <t>Save with slow network (throttle DevTools).</t>
        </is>
      </c>
      <c r="H140" t="inlineStr">
        <is>
          <t>—</t>
        </is>
      </c>
      <c r="I140" t="inlineStr">
        <is>
          <t>Saving indicator; error if fail; no duplicate.</t>
        </is>
      </c>
      <c r="J140" t="inlineStr">
        <is>
          <t>— Not tested</t>
        </is>
      </c>
      <c r="K140" t="inlineStr">
        <is>
          <t>— Not tested</t>
        </is>
      </c>
      <c r="L140" t="inlineStr">
        <is>
          <t>— Not tested</t>
        </is>
      </c>
    </row>
    <row r="141">
      <c r="A141" t="n">
        <v>455</v>
      </c>
      <c r="B141" t="inlineStr">
        <is>
          <t>1 — Strategies</t>
        </is>
      </c>
      <c r="C141" t="n">
        <v>44</v>
      </c>
      <c r="D141" t="inlineStr">
        <is>
          <t>Builder — Condition Status Visuals</t>
        </is>
      </c>
      <c r="E141" t="inlineStr">
        <is>
          <t>Structure</t>
        </is>
      </c>
      <c r="F141" t="inlineStr">
        <is>
          <t>P1</t>
        </is>
      </c>
      <c r="G141" t="inlineStr">
        <is>
          <t>Add condition with status **mandatory**.</t>
        </is>
      </c>
      <c r="H141" t="inlineStr">
        <is>
          <t>mandatory</t>
        </is>
      </c>
      <c r="I141" t="inlineStr">
        <is>
          <t>Node/badge color matches mandatory (green/optional/red).</t>
        </is>
      </c>
      <c r="J141" t="inlineStr">
        <is>
          <t>— Not tested</t>
        </is>
      </c>
      <c r="K141" t="inlineStr">
        <is>
          <t>— Not tested</t>
        </is>
      </c>
      <c r="L141" t="inlineStr">
        <is>
          <t>— Not tested</t>
        </is>
      </c>
    </row>
    <row r="142">
      <c r="A142" t="n">
        <v>456</v>
      </c>
      <c r="B142" t="inlineStr">
        <is>
          <t>1 — Strategies</t>
        </is>
      </c>
      <c r="C142" t="n">
        <v>44</v>
      </c>
      <c r="D142" t="inlineStr">
        <is>
          <t>Builder — Condition Status Visuals</t>
        </is>
      </c>
      <c r="E142" t="inlineStr">
        <is>
          <t>Structure</t>
        </is>
      </c>
      <c r="F142" t="inlineStr">
        <is>
          <t>P1</t>
        </is>
      </c>
      <c r="G142" t="inlineStr">
        <is>
          <t>Add condition with status **optional**.</t>
        </is>
      </c>
      <c r="H142" t="inlineStr">
        <is>
          <t>optional</t>
        </is>
      </c>
      <c r="I142" t="inlineStr">
        <is>
          <t>Node/badge color matches optional (green/optional/red).</t>
        </is>
      </c>
      <c r="J142" t="inlineStr">
        <is>
          <t>— Not tested</t>
        </is>
      </c>
      <c r="K142" t="inlineStr">
        <is>
          <t>— Not tested</t>
        </is>
      </c>
      <c r="L142" t="inlineStr">
        <is>
          <t>— Not tested</t>
        </is>
      </c>
    </row>
    <row r="143">
      <c r="A143" t="n">
        <v>457</v>
      </c>
      <c r="B143" t="inlineStr">
        <is>
          <t>1 — Strategies</t>
        </is>
      </c>
      <c r="C143" t="n">
        <v>44</v>
      </c>
      <c r="D143" t="inlineStr">
        <is>
          <t>Builder — Condition Status Visuals</t>
        </is>
      </c>
      <c r="E143" t="inlineStr">
        <is>
          <t>Structure</t>
        </is>
      </c>
      <c r="F143" t="inlineStr">
        <is>
          <t>P1</t>
        </is>
      </c>
      <c r="G143" t="inlineStr">
        <is>
          <t>Add condition with status **invalidate**.</t>
        </is>
      </c>
      <c r="H143" t="inlineStr">
        <is>
          <t>invalidate</t>
        </is>
      </c>
      <c r="I143" t="inlineStr">
        <is>
          <t>Node/badge color matches invalidate (green/optional/red).</t>
        </is>
      </c>
      <c r="J143" t="inlineStr">
        <is>
          <t>— Not tested</t>
        </is>
      </c>
      <c r="K143" t="inlineStr">
        <is>
          <t>— Not tested</t>
        </is>
      </c>
      <c r="L143" t="inlineStr">
        <is>
          <t>— Not tested</t>
        </is>
      </c>
    </row>
    <row r="144">
      <c r="A144" t="n">
        <v>458</v>
      </c>
      <c r="B144" t="inlineStr">
        <is>
          <t>1 — Strategies</t>
        </is>
      </c>
      <c r="C144" t="n">
        <v>44</v>
      </c>
      <c r="D144" t="inlineStr">
        <is>
          <t>Builder — Condition Status Visuals</t>
        </is>
      </c>
      <c r="E144" t="inlineStr">
        <is>
          <t>Structure</t>
        </is>
      </c>
      <c r="F144" t="inlineStr">
        <is>
          <t>P1</t>
        </is>
      </c>
      <c r="G144" t="inlineStr">
        <is>
          <t>Canvas with 0 groups — Review step.</t>
        </is>
      </c>
      <c r="H144" t="inlineStr">
        <is>
          <t>empty flow</t>
        </is>
      </c>
      <c r="I144" t="inlineStr">
        <is>
          <t>Readiness shows flow incomplete.</t>
        </is>
      </c>
      <c r="J144" t="inlineStr">
        <is>
          <t>— Not tested</t>
        </is>
      </c>
      <c r="K144" t="inlineStr">
        <is>
          <t>— Not tested</t>
        </is>
      </c>
      <c r="L144" t="inlineStr">
        <is>
          <t>— Not tested</t>
        </is>
      </c>
    </row>
    <row r="145">
      <c r="A145" t="n">
        <v>459</v>
      </c>
      <c r="B145" t="inlineStr">
        <is>
          <t>1 — Strategies</t>
        </is>
      </c>
      <c r="C145" t="n">
        <v>44</v>
      </c>
      <c r="D145" t="inlineStr">
        <is>
          <t>Builder — Condition Status Visuals</t>
        </is>
      </c>
      <c r="E145" t="inlineStr">
        <is>
          <t>Structure</t>
        </is>
      </c>
      <c r="F145" t="inlineStr">
        <is>
          <t>P2</t>
        </is>
      </c>
      <c r="G145" t="inlineStr">
        <is>
          <t>Canvas with 5 groups × 3 conditions each.</t>
        </is>
      </c>
      <c r="H145" t="inlineStr">
        <is>
          <t>15 conditions</t>
        </is>
      </c>
      <c r="I145" t="inlineStr">
        <is>
          <t>Performance OK; scroll works; save succeeds.</t>
        </is>
      </c>
      <c r="J145" t="inlineStr">
        <is>
          <t>— Not tested</t>
        </is>
      </c>
      <c r="K145" t="inlineStr">
        <is>
          <t>— Not tested</t>
        </is>
      </c>
      <c r="L145" t="inlineStr">
        <is>
          <t>— Not tested</t>
        </is>
      </c>
    </row>
    <row r="146">
      <c r="A146" t="n">
        <v>460</v>
      </c>
      <c r="B146" t="inlineStr">
        <is>
          <t>1 — Strategies</t>
        </is>
      </c>
      <c r="C146" t="n">
        <v>44</v>
      </c>
      <c r="D146" t="inlineStr">
        <is>
          <t>Builder — Condition Status Visuals</t>
        </is>
      </c>
      <c r="E146" t="inlineStr">
        <is>
          <t>Structure</t>
        </is>
      </c>
      <c r="F146" t="inlineStr">
        <is>
          <t>P2</t>
        </is>
      </c>
      <c r="G146" t="inlineStr">
        <is>
          <t>Condition with very long description (2000 chars).</t>
        </is>
      </c>
      <c r="H146" t="inlineStr">
        <is>
          <t>long text</t>
        </is>
      </c>
      <c r="I146" t="inlineStr">
        <is>
          <t>Inspector scrolls; save succeeds or truncates safely.</t>
        </is>
      </c>
      <c r="J146" t="inlineStr">
        <is>
          <t>— Not tested</t>
        </is>
      </c>
      <c r="K146" t="inlineStr">
        <is>
          <t>— Not tested</t>
        </is>
      </c>
      <c r="L146" t="inlineStr">
        <is>
          <t>— Not tested</t>
        </is>
      </c>
    </row>
    <row r="147">
      <c r="A147" t="n">
        <v>461</v>
      </c>
      <c r="B147" t="inlineStr">
        <is>
          <t>1 — Strategies</t>
        </is>
      </c>
      <c r="C147" t="n">
        <v>44</v>
      </c>
      <c r="D147" t="inlineStr">
        <is>
          <t>Builder — Condition Status Visuals</t>
        </is>
      </c>
      <c r="E147" t="inlineStr">
        <is>
          <t>Structure</t>
        </is>
      </c>
      <c r="F147" t="inlineStr">
        <is>
          <t>P2</t>
        </is>
      </c>
      <c r="G147" t="inlineStr">
        <is>
          <t>Group name with special characters.</t>
        </is>
      </c>
      <c r="H147" t="inlineStr">
        <is>
          <t>G&amp;1 &lt;test&gt;</t>
        </is>
      </c>
      <c r="I147" t="inlineStr">
        <is>
          <t>Displays safely on canvas.</t>
        </is>
      </c>
      <c r="J147" t="inlineStr">
        <is>
          <t>— Not tested</t>
        </is>
      </c>
      <c r="K147" t="inlineStr">
        <is>
          <t>— Not tested</t>
        </is>
      </c>
      <c r="L147" t="inlineStr">
        <is>
          <t>— Not tested</t>
        </is>
      </c>
    </row>
    <row r="148">
      <c r="A148" t="n">
        <v>491</v>
      </c>
      <c r="B148" t="inlineStr">
        <is>
          <t>1 — Strategies</t>
        </is>
      </c>
      <c r="C148" t="n">
        <v>49</v>
      </c>
      <c r="D148" t="inlineStr">
        <is>
          <t>Abuse &amp; Security Inputs</t>
        </is>
      </c>
      <c r="E148" t="inlineStr">
        <is>
          <t>Extreme</t>
        </is>
      </c>
      <c r="F148" t="inlineStr">
        <is>
          <t>P0</t>
        </is>
      </c>
      <c r="G148" t="inlineStr">
        <is>
          <t>Strategy name SQL injection</t>
        </is>
      </c>
      <c r="H148" t="inlineStr">
        <is>
          <t>'; DROP TABLE--</t>
        </is>
      </c>
      <c r="I148" t="inlineStr">
        <is>
          <t>Displays as text; no DB error.</t>
        </is>
      </c>
      <c r="J148" t="inlineStr">
        <is>
          <t>— Not tested</t>
        </is>
      </c>
      <c r="K148" t="inlineStr">
        <is>
          <t>— Not tested</t>
        </is>
      </c>
      <c r="L148" t="inlineStr">
        <is>
          <t>— Not tested</t>
        </is>
      </c>
    </row>
    <row r="149">
      <c r="A149" t="n">
        <v>492</v>
      </c>
      <c r="B149" t="inlineStr">
        <is>
          <t>1 — Strategies</t>
        </is>
      </c>
      <c r="C149" t="n">
        <v>49</v>
      </c>
      <c r="D149" t="inlineStr">
        <is>
          <t>Abuse &amp; Security Inputs</t>
        </is>
      </c>
      <c r="E149" t="inlineStr">
        <is>
          <t>Extreme</t>
        </is>
      </c>
      <c r="F149" t="inlineStr">
        <is>
          <t>P0</t>
        </is>
      </c>
      <c r="G149" t="inlineStr">
        <is>
          <t>Strategy name HTML injection</t>
        </is>
      </c>
      <c r="H149" t="inlineStr">
        <is>
          <t>&lt;img src=x onerror=alert(1)&gt;</t>
        </is>
      </c>
      <c r="I149" t="inlineStr">
        <is>
          <t>Escaped; no script run.</t>
        </is>
      </c>
      <c r="J149" t="inlineStr">
        <is>
          <t>— Not tested</t>
        </is>
      </c>
      <c r="K149" t="inlineStr">
        <is>
          <t>— Not tested</t>
        </is>
      </c>
      <c r="L149" t="inlineStr">
        <is>
          <t>— Not tested</t>
        </is>
      </c>
    </row>
    <row r="150">
      <c r="A150" t="n">
        <v>498</v>
      </c>
      <c r="B150" t="inlineStr">
        <is>
          <t>1 — Strategies</t>
        </is>
      </c>
      <c r="C150" t="n">
        <v>50</v>
      </c>
      <c r="D150" t="inlineStr">
        <is>
          <t>Responsive Layout — Strategies</t>
        </is>
      </c>
      <c r="E150" t="inlineStr">
        <is>
          <t>Structure</t>
        </is>
      </c>
      <c r="F150" t="inlineStr">
        <is>
          <t>P2</t>
        </is>
      </c>
      <c r="G150" t="inlineStr">
        <is>
          <t>Strategy Bank at viewport **2560px** width.</t>
        </is>
      </c>
      <c r="H150" t="inlineStr">
        <is>
          <t>2560px</t>
        </is>
      </c>
      <c r="I150" t="inlineStr">
        <is>
          <t>Header, cards/rows, Build Strategy visible without overlap.</t>
        </is>
      </c>
      <c r="J150" t="inlineStr">
        <is>
          <t>— Not tested</t>
        </is>
      </c>
      <c r="K150" t="inlineStr">
        <is>
          <t>— Not tested</t>
        </is>
      </c>
      <c r="L150" t="inlineStr">
        <is>
          <t>— Not tested</t>
        </is>
      </c>
    </row>
    <row r="151">
      <c r="A151" t="n">
        <v>502</v>
      </c>
      <c r="B151" t="inlineStr">
        <is>
          <t>1 — Strategies</t>
        </is>
      </c>
      <c r="C151" t="n">
        <v>50</v>
      </c>
      <c r="D151" t="inlineStr">
        <is>
          <t>Responsive Layout — Strategies</t>
        </is>
      </c>
      <c r="E151" t="inlineStr">
        <is>
          <t>Structure</t>
        </is>
      </c>
      <c r="F151" t="inlineStr">
        <is>
          <t>P2</t>
        </is>
      </c>
      <c r="G151" t="inlineStr">
        <is>
          <t>Strategy Bank at viewport **1920px** width.</t>
        </is>
      </c>
      <c r="H151" t="inlineStr">
        <is>
          <t>1920px</t>
        </is>
      </c>
      <c r="I151" t="inlineStr">
        <is>
          <t>Header, cards/rows, Build Strategy visible without overlap.</t>
        </is>
      </c>
      <c r="J151" t="inlineStr">
        <is>
          <t>— Not tested</t>
        </is>
      </c>
      <c r="K151" t="inlineStr">
        <is>
          <t>— Not tested</t>
        </is>
      </c>
      <c r="L151" t="inlineStr">
        <is>
          <t>— Not tested</t>
        </is>
      </c>
    </row>
    <row r="152">
      <c r="A152" t="n">
        <v>506</v>
      </c>
      <c r="B152" t="inlineStr">
        <is>
          <t>1 — Strategies</t>
        </is>
      </c>
      <c r="C152" t="n">
        <v>50</v>
      </c>
      <c r="D152" t="inlineStr">
        <is>
          <t>Responsive Layout — Strategies</t>
        </is>
      </c>
      <c r="E152" t="inlineStr">
        <is>
          <t>Structure</t>
        </is>
      </c>
      <c r="F152" t="inlineStr">
        <is>
          <t>P2</t>
        </is>
      </c>
      <c r="G152" t="inlineStr">
        <is>
          <t>Strategy Bank at viewport **1440px** width.</t>
        </is>
      </c>
      <c r="H152" t="inlineStr">
        <is>
          <t>1440px</t>
        </is>
      </c>
      <c r="I152" t="inlineStr">
        <is>
          <t>Header, cards/rows, Build Strategy visible without overlap.</t>
        </is>
      </c>
      <c r="J152" t="inlineStr">
        <is>
          <t>— Not tested</t>
        </is>
      </c>
      <c r="K152" t="inlineStr">
        <is>
          <t>— Not tested</t>
        </is>
      </c>
      <c r="L152" t="inlineStr">
        <is>
          <t>— Not tested</t>
        </is>
      </c>
    </row>
    <row r="153">
      <c r="A153" t="n">
        <v>510</v>
      </c>
      <c r="B153" t="inlineStr">
        <is>
          <t>1 — Strategies</t>
        </is>
      </c>
      <c r="C153" t="n">
        <v>50</v>
      </c>
      <c r="D153" t="inlineStr">
        <is>
          <t>Responsive Layout — Strategies</t>
        </is>
      </c>
      <c r="E153" t="inlineStr">
        <is>
          <t>Structure</t>
        </is>
      </c>
      <c r="F153" t="inlineStr">
        <is>
          <t>P2</t>
        </is>
      </c>
      <c r="G153" t="inlineStr">
        <is>
          <t>Strategy Bank at viewport **1280px** width.</t>
        </is>
      </c>
      <c r="H153" t="inlineStr">
        <is>
          <t>1280px</t>
        </is>
      </c>
      <c r="I153" t="inlineStr">
        <is>
          <t>Header, cards/rows, Build Strategy visible without overlap.</t>
        </is>
      </c>
      <c r="J153" t="inlineStr">
        <is>
          <t>— Not tested</t>
        </is>
      </c>
      <c r="K153" t="inlineStr">
        <is>
          <t>— Not tested</t>
        </is>
      </c>
      <c r="L153" t="inlineStr">
        <is>
          <t>— Not tested</t>
        </is>
      </c>
    </row>
    <row r="154">
      <c r="A154" t="n">
        <v>514</v>
      </c>
      <c r="B154" t="inlineStr">
        <is>
          <t>1 — Strategies</t>
        </is>
      </c>
      <c r="C154" t="n">
        <v>50</v>
      </c>
      <c r="D154" t="inlineStr">
        <is>
          <t>Responsive Layout — Strategies</t>
        </is>
      </c>
      <c r="E154" t="inlineStr">
        <is>
          <t>Structure</t>
        </is>
      </c>
      <c r="F154" t="inlineStr">
        <is>
          <t>P2</t>
        </is>
      </c>
      <c r="G154" t="inlineStr">
        <is>
          <t>Strategy Bank at viewport **1024px** width.</t>
        </is>
      </c>
      <c r="H154" t="inlineStr">
        <is>
          <t>1024px</t>
        </is>
      </c>
      <c r="I154" t="inlineStr">
        <is>
          <t>Header, cards/rows, Build Strategy visible without overlap.</t>
        </is>
      </c>
      <c r="J154" t="inlineStr">
        <is>
          <t>— Not tested</t>
        </is>
      </c>
      <c r="K154" t="inlineStr">
        <is>
          <t>— Not tested</t>
        </is>
      </c>
      <c r="L154" t="inlineStr">
        <is>
          <t>— Not tested</t>
        </is>
      </c>
    </row>
    <row r="155">
      <c r="A155" t="n">
        <v>526</v>
      </c>
      <c r="B155" t="inlineStr">
        <is>
          <t>1 — Strategies</t>
        </is>
      </c>
      <c r="C155" t="n">
        <v>52</v>
      </c>
      <c r="D155" t="inlineStr">
        <is>
          <t>Strategy Bank — Community Tab (disabled)</t>
        </is>
      </c>
      <c r="E155" t="inlineStr">
        <is>
          <t>Edge</t>
        </is>
      </c>
      <c r="F155" t="inlineStr">
        <is>
          <t>P2</t>
        </is>
      </c>
      <c r="G155" t="inlineStr">
        <is>
          <t>Community tab visible but disabled.</t>
        </is>
      </c>
      <c r="H155" t="inlineStr">
        <is>
          <t>—</t>
        </is>
      </c>
      <c r="I155" t="inlineStr">
        <is>
          <t>Grayed; cannot activate.</t>
        </is>
      </c>
      <c r="J155" t="inlineStr">
        <is>
          <t>— Not tested</t>
        </is>
      </c>
      <c r="K155" t="inlineStr">
        <is>
          <t>— Not tested</t>
        </is>
      </c>
      <c r="L155" t="inlineStr">
        <is>
          <t>— Not tested</t>
        </is>
      </c>
    </row>
    <row r="156">
      <c r="A156" t="n">
        <v>527</v>
      </c>
      <c r="B156" t="inlineStr">
        <is>
          <t>1 — Strategies</t>
        </is>
      </c>
      <c r="C156" t="n">
        <v>52</v>
      </c>
      <c r="D156" t="inlineStr">
        <is>
          <t>Strategy Bank — Community Tab (disabled)</t>
        </is>
      </c>
      <c r="E156" t="inlineStr">
        <is>
          <t>Edge</t>
        </is>
      </c>
      <c r="F156" t="inlineStr">
        <is>
          <t>P2</t>
        </is>
      </c>
      <c r="G156" t="inlineStr">
        <is>
          <t>If Community enabled in future build: sort by Win Rate, Name, P&amp;L.</t>
        </is>
      </c>
      <c r="H156" t="inlineStr">
        <is>
          <t>—</t>
        </is>
      </c>
      <c r="I156" t="inlineStr">
        <is>
          <t>Skip if disabled; note N/A.</t>
        </is>
      </c>
      <c r="J156" t="inlineStr">
        <is>
          <t>— Not tested</t>
        </is>
      </c>
      <c r="K156" t="inlineStr">
        <is>
          <t>— Not tested</t>
        </is>
      </c>
      <c r="L156" t="inlineStr">
        <is>
          <t>— Not tested</t>
        </is>
      </c>
    </row>
  </sheetData>
  <dataValidations count="2">
    <dataValidation sqref="J2:K156" showDropDown="0" showInputMessage="0" showErrorMessage="0" allowBlank="1" type="list">
      <formula1>"☑ Pass,☐ Fail,⚠ Partial,— Not tested"</formula1>
    </dataValidation>
    <dataValidation sqref="L2:L156" showDropDown="0" showInputMessage="0" showErrorMessage="0" allowBlank="1" type="list">
      <formula1>"☑ Yes,☐ No,— Not tested"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6" customWidth="1" min="3" max="3"/>
    <col width="26" customWidth="1" min="4" max="4"/>
    <col width="14" customWidth="1" min="5" max="5"/>
    <col width="7" customWidth="1" min="6" max="6"/>
    <col width="48" customWidth="1" min="7" max="7"/>
    <col width="22" customWidth="1" min="8" max="8"/>
    <col width="38" customWidth="1" min="9" max="9"/>
    <col width="12" customWidth="1" min="10" max="10"/>
    <col width="12" customWidth="1" min="11" max="11"/>
    <col width="9" customWidth="1" min="12" max="12"/>
    <col width="32" customWidth="1" min="13" max="13"/>
  </cols>
  <sheetData>
    <row r="1">
      <c r="A1" s="11" t="inlineStr">
        <is>
          <t>Step #</t>
        </is>
      </c>
      <c r="B1" s="11" t="inlineStr">
        <is>
          <t>Section</t>
        </is>
      </c>
      <c r="C1" s="11" t="inlineStr">
        <is>
          <t>Phase</t>
        </is>
      </c>
      <c r="D1" s="11" t="inlineStr">
        <is>
          <t>Phase Name</t>
        </is>
      </c>
      <c r="E1" s="11" t="inlineStr">
        <is>
          <t>Category</t>
        </is>
      </c>
      <c r="F1" s="11" t="inlineStr">
        <is>
          <t>Priority</t>
        </is>
      </c>
      <c r="G1" s="11" t="inlineStr">
        <is>
          <t>What to Do</t>
        </is>
      </c>
      <c r="H1" s="11" t="inlineStr">
        <is>
          <t>Test Input</t>
        </is>
      </c>
      <c r="I1" s="11" t="inlineStr">
        <is>
          <t>Expected Result</t>
        </is>
      </c>
      <c r="J1" s="11" t="inlineStr">
        <is>
          <t>Tester A</t>
        </is>
      </c>
      <c r="K1" s="11" t="inlineStr">
        <is>
          <t>Tester B</t>
        </is>
      </c>
      <c r="L1" s="11" t="inlineStr">
        <is>
          <t>Issue?</t>
        </is>
      </c>
      <c r="M1" s="11" t="inlineStr">
        <is>
          <t>Comments</t>
        </is>
      </c>
    </row>
    <row r="2">
      <c r="A2" t="n">
        <v>140</v>
      </c>
      <c r="B2" t="inlineStr">
        <is>
          <t>2 — Sessions</t>
        </is>
      </c>
      <c r="C2" t="n">
        <v>14</v>
      </c>
      <c r="D2" t="inlineStr">
        <is>
          <t>Sessions Page — Shell &amp; Stats</t>
        </is>
      </c>
      <c r="E2" t="inlineStr">
        <is>
          <t>Structure</t>
        </is>
      </c>
      <c r="F2" t="inlineStr">
        <is>
          <t>P0</t>
        </is>
      </c>
      <c r="G2" t="inlineStr">
        <is>
          <t>Open Backtest via left nav.</t>
        </is>
      </c>
      <c r="H2" t="inlineStr">
        <is>
          <t>—</t>
        </is>
      </c>
      <c r="I2" t="inlineStr">
        <is>
          <t>Backtesting Sessions page.</t>
        </is>
      </c>
      <c r="J2" t="inlineStr">
        <is>
          <t>— Not tested</t>
        </is>
      </c>
      <c r="K2" t="inlineStr">
        <is>
          <t>— Not tested</t>
        </is>
      </c>
      <c r="L2" t="inlineStr">
        <is>
          <t>— Not tested</t>
        </is>
      </c>
    </row>
    <row r="3">
      <c r="A3" t="n">
        <v>141</v>
      </c>
      <c r="B3" t="inlineStr">
        <is>
          <t>2 — Sessions</t>
        </is>
      </c>
      <c r="C3" t="n">
        <v>14</v>
      </c>
      <c r="D3" t="inlineStr">
        <is>
          <t>Sessions Page — Shell &amp; Stats</t>
        </is>
      </c>
      <c r="E3" t="inlineStr">
        <is>
          <t>Structure</t>
        </is>
      </c>
      <c r="F3" t="inlineStr">
        <is>
          <t>P1</t>
        </is>
      </c>
      <c r="G3" t="inlineStr">
        <is>
          <t>Verify stats tile: Sessions &amp; Mode (Std/Prop/Journal).</t>
        </is>
      </c>
      <c r="H3" t="inlineStr">
        <is>
          <t>—</t>
        </is>
      </c>
      <c r="I3" t="inlineStr">
        <is>
          <t>Counts match list.</t>
        </is>
      </c>
      <c r="J3" t="inlineStr">
        <is>
          <t>— Not tested</t>
        </is>
      </c>
      <c r="K3" t="inlineStr">
        <is>
          <t>— Not tested</t>
        </is>
      </c>
      <c r="L3" t="inlineStr">
        <is>
          <t>— Not tested</t>
        </is>
      </c>
    </row>
    <row r="4">
      <c r="A4" t="n">
        <v>142</v>
      </c>
      <c r="B4" t="inlineStr">
        <is>
          <t>2 — Sessions</t>
        </is>
      </c>
      <c r="C4" t="n">
        <v>14</v>
      </c>
      <c r="D4" t="inlineStr">
        <is>
          <t>Sessions Page — Shell &amp; Stats</t>
        </is>
      </c>
      <c r="E4" t="inlineStr">
        <is>
          <t>Structure</t>
        </is>
      </c>
      <c r="F4" t="inlineStr">
        <is>
          <t>P1</t>
        </is>
      </c>
      <c r="G4" t="inlineStr">
        <is>
          <t>Hover Total Trades chart bar.</t>
        </is>
      </c>
      <c r="H4" t="inlineStr">
        <is>
          <t>—</t>
        </is>
      </c>
      <c r="I4" t="inlineStr">
        <is>
          <t>Tooltip with session details.</t>
        </is>
      </c>
      <c r="J4" t="inlineStr">
        <is>
          <t>— Not tested</t>
        </is>
      </c>
      <c r="K4" t="inlineStr">
        <is>
          <t>— Not tested</t>
        </is>
      </c>
      <c r="L4" t="inlineStr">
        <is>
          <t>— Not tested</t>
        </is>
      </c>
    </row>
    <row r="5">
      <c r="A5" t="n">
        <v>143</v>
      </c>
      <c r="B5" t="inlineStr">
        <is>
          <t>2 — Sessions</t>
        </is>
      </c>
      <c r="C5" t="n">
        <v>14</v>
      </c>
      <c r="D5" t="inlineStr">
        <is>
          <t>Sessions Page — Shell &amp; Stats</t>
        </is>
      </c>
      <c r="E5" t="inlineStr">
        <is>
          <t>Structure</t>
        </is>
      </c>
      <c r="F5" t="inlineStr">
        <is>
          <t>P2</t>
        </is>
      </c>
      <c r="G5" t="inlineStr">
        <is>
          <t>Profitable Sessions % arc.</t>
        </is>
      </c>
      <c r="H5" t="inlineStr">
        <is>
          <t>—</t>
        </is>
      </c>
      <c r="I5" t="inlineStr">
        <is>
          <t>Percentage displayed.</t>
        </is>
      </c>
      <c r="J5" t="inlineStr">
        <is>
          <t>— Not tested</t>
        </is>
      </c>
      <c r="K5" t="inlineStr">
        <is>
          <t>— Not tested</t>
        </is>
      </c>
      <c r="L5" t="inlineStr">
        <is>
          <t>— Not tested</t>
        </is>
      </c>
    </row>
    <row r="6">
      <c r="A6" t="n">
        <v>144</v>
      </c>
      <c r="B6" t="inlineStr">
        <is>
          <t>2 — Sessions</t>
        </is>
      </c>
      <c r="C6" t="n">
        <v>14</v>
      </c>
      <c r="D6" t="inlineStr">
        <is>
          <t>Sessions Page — Shell &amp; Stats</t>
        </is>
      </c>
      <c r="E6" t="inlineStr">
        <is>
          <t>Structure</t>
        </is>
      </c>
      <c r="F6" t="inlineStr">
        <is>
          <t>P2</t>
        </is>
      </c>
      <c r="G6" t="inlineStr">
        <is>
          <t>Days Tested dots/bars.</t>
        </is>
      </c>
      <c r="H6" t="inlineStr">
        <is>
          <t>—</t>
        </is>
      </c>
      <c r="I6" t="inlineStr">
        <is>
          <t>Visual renders.</t>
        </is>
      </c>
      <c r="J6" t="inlineStr">
        <is>
          <t>— Not tested</t>
        </is>
      </c>
      <c r="K6" t="inlineStr">
        <is>
          <t>— Not tested</t>
        </is>
      </c>
      <c r="L6" t="inlineStr">
        <is>
          <t>— Not tested</t>
        </is>
      </c>
    </row>
    <row r="7">
      <c r="A7" t="n">
        <v>145</v>
      </c>
      <c r="B7" t="inlineStr">
        <is>
          <t>2 — Sessions</t>
        </is>
      </c>
      <c r="C7" t="n">
        <v>14</v>
      </c>
      <c r="D7" t="inlineStr">
        <is>
          <t>Sessions Page — Shell &amp; Stats</t>
        </is>
      </c>
      <c r="E7" t="inlineStr">
        <is>
          <t>Structure</t>
        </is>
      </c>
      <c r="F7" t="inlineStr">
        <is>
          <t>P2</t>
        </is>
      </c>
      <c r="G7" t="inlineStr">
        <is>
          <t>Tickers Tested count.</t>
        </is>
      </c>
      <c r="H7" t="inlineStr">
        <is>
          <t>—</t>
        </is>
      </c>
      <c r="I7" t="inlineStr">
        <is>
          <t>Matches unique tickers.</t>
        </is>
      </c>
      <c r="J7" t="inlineStr">
        <is>
          <t>— Not tested</t>
        </is>
      </c>
      <c r="K7" t="inlineStr">
        <is>
          <t>— Not tested</t>
        </is>
      </c>
      <c r="L7" t="inlineStr">
        <is>
          <t>— Not tested</t>
        </is>
      </c>
    </row>
    <row r="8">
      <c r="A8" t="n">
        <v>146</v>
      </c>
      <c r="B8" t="inlineStr">
        <is>
          <t>2 — Sessions</t>
        </is>
      </c>
      <c r="C8" t="n">
        <v>15</v>
      </c>
      <c r="D8" t="inlineStr">
        <is>
          <t>Sessions — Filters &amp; Sort</t>
        </is>
      </c>
      <c r="E8" t="inlineStr">
        <is>
          <t>Configuration</t>
        </is>
      </c>
      <c r="F8" t="inlineStr">
        <is>
          <t>P1</t>
        </is>
      </c>
      <c r="G8" t="inlineStr">
        <is>
          <t>Click filter tab **All**.</t>
        </is>
      </c>
      <c r="H8" t="inlineStr">
        <is>
          <t>All</t>
        </is>
      </c>
      <c r="I8" t="inlineStr">
        <is>
          <t>Only All sessions shown; badge count correct.</t>
        </is>
      </c>
      <c r="J8" t="inlineStr">
        <is>
          <t>— Not tested</t>
        </is>
      </c>
      <c r="K8" t="inlineStr">
        <is>
          <t>— Not tested</t>
        </is>
      </c>
      <c r="L8" t="inlineStr">
        <is>
          <t>— Not tested</t>
        </is>
      </c>
    </row>
    <row r="9">
      <c r="A9" t="n">
        <v>147</v>
      </c>
      <c r="B9" t="inlineStr">
        <is>
          <t>2 — Sessions</t>
        </is>
      </c>
      <c r="C9" t="n">
        <v>15</v>
      </c>
      <c r="D9" t="inlineStr">
        <is>
          <t>Sessions — Filters &amp; Sort</t>
        </is>
      </c>
      <c r="E9" t="inlineStr">
        <is>
          <t>Configuration</t>
        </is>
      </c>
      <c r="F9" t="inlineStr">
        <is>
          <t>P1</t>
        </is>
      </c>
      <c r="G9" t="inlineStr">
        <is>
          <t>Click filter tab **Not Started**.</t>
        </is>
      </c>
      <c r="H9" t="inlineStr">
        <is>
          <t>Not Started</t>
        </is>
      </c>
      <c r="I9" t="inlineStr">
        <is>
          <t>Only Not Started sessions shown; badge count correct.</t>
        </is>
      </c>
      <c r="J9" t="inlineStr">
        <is>
          <t>— Not tested</t>
        </is>
      </c>
      <c r="K9" t="inlineStr">
        <is>
          <t>— Not tested</t>
        </is>
      </c>
      <c r="L9" t="inlineStr">
        <is>
          <t>— Not tested</t>
        </is>
      </c>
    </row>
    <row r="10">
      <c r="A10" t="n">
        <v>148</v>
      </c>
      <c r="B10" t="inlineStr">
        <is>
          <t>2 — Sessions</t>
        </is>
      </c>
      <c r="C10" t="n">
        <v>15</v>
      </c>
      <c r="D10" t="inlineStr">
        <is>
          <t>Sessions — Filters &amp; Sort</t>
        </is>
      </c>
      <c r="E10" t="inlineStr">
        <is>
          <t>Configuration</t>
        </is>
      </c>
      <c r="F10" t="inlineStr">
        <is>
          <t>P1</t>
        </is>
      </c>
      <c r="G10" t="inlineStr">
        <is>
          <t>Click filter tab **Active**.</t>
        </is>
      </c>
      <c r="H10" t="inlineStr">
        <is>
          <t>Active</t>
        </is>
      </c>
      <c r="I10" t="inlineStr">
        <is>
          <t>Only Active sessions shown; badge count correct.</t>
        </is>
      </c>
      <c r="J10" t="inlineStr">
        <is>
          <t>— Not tested</t>
        </is>
      </c>
      <c r="K10" t="inlineStr">
        <is>
          <t>— Not tested</t>
        </is>
      </c>
      <c r="L10" t="inlineStr">
        <is>
          <t>— Not tested</t>
        </is>
      </c>
    </row>
    <row r="11">
      <c r="A11" t="n">
        <v>149</v>
      </c>
      <c r="B11" t="inlineStr">
        <is>
          <t>2 — Sessions</t>
        </is>
      </c>
      <c r="C11" t="n">
        <v>15</v>
      </c>
      <c r="D11" t="inlineStr">
        <is>
          <t>Sessions — Filters &amp; Sort</t>
        </is>
      </c>
      <c r="E11" t="inlineStr">
        <is>
          <t>Configuration</t>
        </is>
      </c>
      <c r="F11" t="inlineStr">
        <is>
          <t>P1</t>
        </is>
      </c>
      <c r="G11" t="inlineStr">
        <is>
          <t>Click filter tab **Completed**.</t>
        </is>
      </c>
      <c r="H11" t="inlineStr">
        <is>
          <t>Completed</t>
        </is>
      </c>
      <c r="I11" t="inlineStr">
        <is>
          <t>Only Completed sessions shown; badge count correct.</t>
        </is>
      </c>
      <c r="J11" t="inlineStr">
        <is>
          <t>— Not tested</t>
        </is>
      </c>
      <c r="K11" t="inlineStr">
        <is>
          <t>— Not tested</t>
        </is>
      </c>
      <c r="L11" t="inlineStr">
        <is>
          <t>— Not tested</t>
        </is>
      </c>
    </row>
    <row r="12">
      <c r="A12" t="n">
        <v>150</v>
      </c>
      <c r="B12" t="inlineStr">
        <is>
          <t>2 — Sessions</t>
        </is>
      </c>
      <c r="C12" t="n">
        <v>15</v>
      </c>
      <c r="D12" t="inlineStr">
        <is>
          <t>Sessions — Filters &amp; Sort</t>
        </is>
      </c>
      <c r="E12" t="inlineStr">
        <is>
          <t>Configuration</t>
        </is>
      </c>
      <c r="F12" t="inlineStr">
        <is>
          <t>P1</t>
        </is>
      </c>
      <c r="G12" t="inlineStr">
        <is>
          <t>Click filter tab **Standard**.</t>
        </is>
      </c>
      <c r="H12" t="inlineStr">
        <is>
          <t>Standard</t>
        </is>
      </c>
      <c r="I12" t="inlineStr">
        <is>
          <t>Only Standard sessions shown; badge count correct.</t>
        </is>
      </c>
      <c r="J12" t="inlineStr">
        <is>
          <t>— Not tested</t>
        </is>
      </c>
      <c r="K12" t="inlineStr">
        <is>
          <t>— Not tested</t>
        </is>
      </c>
      <c r="L12" t="inlineStr">
        <is>
          <t>— Not tested</t>
        </is>
      </c>
    </row>
    <row r="13">
      <c r="A13" t="n">
        <v>151</v>
      </c>
      <c r="B13" t="inlineStr">
        <is>
          <t>2 — Sessions</t>
        </is>
      </c>
      <c r="C13" t="n">
        <v>15</v>
      </c>
      <c r="D13" t="inlineStr">
        <is>
          <t>Sessions — Filters &amp; Sort</t>
        </is>
      </c>
      <c r="E13" t="inlineStr">
        <is>
          <t>Configuration</t>
        </is>
      </c>
      <c r="F13" t="inlineStr">
        <is>
          <t>P1</t>
        </is>
      </c>
      <c r="G13" t="inlineStr">
        <is>
          <t>Click filter tab **Prop Firm**.</t>
        </is>
      </c>
      <c r="H13" t="inlineStr">
        <is>
          <t>Prop Firm</t>
        </is>
      </c>
      <c r="I13" t="inlineStr">
        <is>
          <t>Only Prop Firm sessions shown; badge count correct.</t>
        </is>
      </c>
      <c r="J13" t="inlineStr">
        <is>
          <t>— Not tested</t>
        </is>
      </c>
      <c r="K13" t="inlineStr">
        <is>
          <t>— Not tested</t>
        </is>
      </c>
      <c r="L13" t="inlineStr">
        <is>
          <t>— Not tested</t>
        </is>
      </c>
    </row>
    <row r="14">
      <c r="A14" t="n">
        <v>152</v>
      </c>
      <c r="B14" t="inlineStr">
        <is>
          <t>2 — Sessions</t>
        </is>
      </c>
      <c r="C14" t="n">
        <v>15</v>
      </c>
      <c r="D14" t="inlineStr">
        <is>
          <t>Sessions — Filters &amp; Sort</t>
        </is>
      </c>
      <c r="E14" t="inlineStr">
        <is>
          <t>Configuration</t>
        </is>
      </c>
      <c r="F14" t="inlineStr">
        <is>
          <t>P1</t>
        </is>
      </c>
      <c r="G14" t="inlineStr">
        <is>
          <t>Click filter tab **Journal**.</t>
        </is>
      </c>
      <c r="H14" t="inlineStr">
        <is>
          <t>Journal</t>
        </is>
      </c>
      <c r="I14" t="inlineStr">
        <is>
          <t>Only Journal sessions shown; badge count correct.</t>
        </is>
      </c>
      <c r="J14" t="inlineStr">
        <is>
          <t>— Not tested</t>
        </is>
      </c>
      <c r="K14" t="inlineStr">
        <is>
          <t>— Not tested</t>
        </is>
      </c>
      <c r="L14" t="inlineStr">
        <is>
          <t>— Not tested</t>
        </is>
      </c>
    </row>
    <row r="15">
      <c r="A15" t="n">
        <v>153</v>
      </c>
      <c r="B15" t="inlineStr">
        <is>
          <t>2 — Sessions</t>
        </is>
      </c>
      <c r="C15" t="n">
        <v>15</v>
      </c>
      <c r="D15" t="inlineStr">
        <is>
          <t>Sessions — Filters &amp; Sort</t>
        </is>
      </c>
      <c r="E15" t="inlineStr">
        <is>
          <t>Configuration</t>
        </is>
      </c>
      <c r="F15" t="inlineStr">
        <is>
          <t>P2</t>
        </is>
      </c>
      <c r="G15" t="inlineStr">
        <is>
          <t>Sort cards by **Name** ascending then descending.</t>
        </is>
      </c>
      <c r="H15" t="inlineStr">
        <is>
          <t>Name</t>
        </is>
      </c>
      <c r="I15" t="inlineStr">
        <is>
          <t>Order changes correctly both directions.</t>
        </is>
      </c>
      <c r="J15" t="inlineStr">
        <is>
          <t>— Not tested</t>
        </is>
      </c>
      <c r="K15" t="inlineStr">
        <is>
          <t>— Not tested</t>
        </is>
      </c>
      <c r="L15" t="inlineStr">
        <is>
          <t>— Not tested</t>
        </is>
      </c>
    </row>
    <row r="16">
      <c r="A16" t="n">
        <v>154</v>
      </c>
      <c r="B16" t="inlineStr">
        <is>
          <t>2 — Sessions</t>
        </is>
      </c>
      <c r="C16" t="n">
        <v>15</v>
      </c>
      <c r="D16" t="inlineStr">
        <is>
          <t>Sessions — Filters &amp; Sort</t>
        </is>
      </c>
      <c r="E16" t="inlineStr">
        <is>
          <t>Configuration</t>
        </is>
      </c>
      <c r="F16" t="inlineStr">
        <is>
          <t>P2</t>
        </is>
      </c>
      <c r="G16" t="inlineStr">
        <is>
          <t>Sort cards by **Strategy** ascending then descending.</t>
        </is>
      </c>
      <c r="H16" t="inlineStr">
        <is>
          <t>Strategy</t>
        </is>
      </c>
      <c r="I16" t="inlineStr">
        <is>
          <t>Order changes correctly both directions.</t>
        </is>
      </c>
      <c r="J16" t="inlineStr">
        <is>
          <t>— Not tested</t>
        </is>
      </c>
      <c r="K16" t="inlineStr">
        <is>
          <t>— Not tested</t>
        </is>
      </c>
      <c r="L16" t="inlineStr">
        <is>
          <t>— Not tested</t>
        </is>
      </c>
    </row>
    <row r="17">
      <c r="A17" t="n">
        <v>155</v>
      </c>
      <c r="B17" t="inlineStr">
        <is>
          <t>2 — Sessions</t>
        </is>
      </c>
      <c r="C17" t="n">
        <v>15</v>
      </c>
      <c r="D17" t="inlineStr">
        <is>
          <t>Sessions — Filters &amp; Sort</t>
        </is>
      </c>
      <c r="E17" t="inlineStr">
        <is>
          <t>Configuration</t>
        </is>
      </c>
      <c r="F17" t="inlineStr">
        <is>
          <t>P2</t>
        </is>
      </c>
      <c r="G17" t="inlineStr">
        <is>
          <t>Sort cards by **Date Range** ascending then descending.</t>
        </is>
      </c>
      <c r="H17" t="inlineStr">
        <is>
          <t>Date Range</t>
        </is>
      </c>
      <c r="I17" t="inlineStr">
        <is>
          <t>Order changes correctly both directions.</t>
        </is>
      </c>
      <c r="J17" t="inlineStr">
        <is>
          <t>— Not tested</t>
        </is>
      </c>
      <c r="K17" t="inlineStr">
        <is>
          <t>— Not tested</t>
        </is>
      </c>
      <c r="L17" t="inlineStr">
        <is>
          <t>— Not tested</t>
        </is>
      </c>
    </row>
    <row r="18">
      <c r="A18" t="n">
        <v>156</v>
      </c>
      <c r="B18" t="inlineStr">
        <is>
          <t>2 — Sessions</t>
        </is>
      </c>
      <c r="C18" t="n">
        <v>15</v>
      </c>
      <c r="D18" t="inlineStr">
        <is>
          <t>Sessions — Filters &amp; Sort</t>
        </is>
      </c>
      <c r="E18" t="inlineStr">
        <is>
          <t>Configuration</t>
        </is>
      </c>
      <c r="F18" t="inlineStr">
        <is>
          <t>P2</t>
        </is>
      </c>
      <c r="G18" t="inlineStr">
        <is>
          <t>Sort cards by **Balance** ascending then descending.</t>
        </is>
      </c>
      <c r="H18" t="inlineStr">
        <is>
          <t>Balance</t>
        </is>
      </c>
      <c r="I18" t="inlineStr">
        <is>
          <t>Order changes correctly both directions.</t>
        </is>
      </c>
      <c r="J18" t="inlineStr">
        <is>
          <t>— Not tested</t>
        </is>
      </c>
      <c r="K18" t="inlineStr">
        <is>
          <t>— Not tested</t>
        </is>
      </c>
      <c r="L18" t="inlineStr">
        <is>
          <t>— Not tested</t>
        </is>
      </c>
    </row>
    <row r="19">
      <c r="A19" t="n">
        <v>157</v>
      </c>
      <c r="B19" t="inlineStr">
        <is>
          <t>2 — Sessions</t>
        </is>
      </c>
      <c r="C19" t="n">
        <v>15</v>
      </c>
      <c r="D19" t="inlineStr">
        <is>
          <t>Sessions — Filters &amp; Sort</t>
        </is>
      </c>
      <c r="E19" t="inlineStr">
        <is>
          <t>Configuration</t>
        </is>
      </c>
      <c r="F19" t="inlineStr">
        <is>
          <t>P2</t>
        </is>
      </c>
      <c r="G19" t="inlineStr">
        <is>
          <t>Sort cards by **Net P&amp;L** ascending then descending.</t>
        </is>
      </c>
      <c r="H19" t="inlineStr">
        <is>
          <t>Net P&amp;L</t>
        </is>
      </c>
      <c r="I19" t="inlineStr">
        <is>
          <t>Order changes correctly both directions.</t>
        </is>
      </c>
      <c r="J19" t="inlineStr">
        <is>
          <t>— Not tested</t>
        </is>
      </c>
      <c r="K19" t="inlineStr">
        <is>
          <t>— Not tested</t>
        </is>
      </c>
      <c r="L19" t="inlineStr">
        <is>
          <t>— Not tested</t>
        </is>
      </c>
    </row>
    <row r="20">
      <c r="A20" t="n">
        <v>158</v>
      </c>
      <c r="B20" t="inlineStr">
        <is>
          <t>2 — Sessions</t>
        </is>
      </c>
      <c r="C20" t="n">
        <v>15</v>
      </c>
      <c r="D20" t="inlineStr">
        <is>
          <t>Sessions — Filters &amp; Sort</t>
        </is>
      </c>
      <c r="E20" t="inlineStr">
        <is>
          <t>Configuration</t>
        </is>
      </c>
      <c r="F20" t="inlineStr">
        <is>
          <t>P2</t>
        </is>
      </c>
      <c r="G20" t="inlineStr">
        <is>
          <t>Sort cards by **Win Rate** ascending then descending.</t>
        </is>
      </c>
      <c r="H20" t="inlineStr">
        <is>
          <t>Win Rate</t>
        </is>
      </c>
      <c r="I20" t="inlineStr">
        <is>
          <t>Order changes correctly both directions.</t>
        </is>
      </c>
      <c r="J20" t="inlineStr">
        <is>
          <t>— Not tested</t>
        </is>
      </c>
      <c r="K20" t="inlineStr">
        <is>
          <t>— Not tested</t>
        </is>
      </c>
      <c r="L20" t="inlineStr">
        <is>
          <t>— Not tested</t>
        </is>
      </c>
    </row>
    <row r="21">
      <c r="A21" t="n">
        <v>159</v>
      </c>
      <c r="B21" t="inlineStr">
        <is>
          <t>2 — Sessions</t>
        </is>
      </c>
      <c r="C21" t="n">
        <v>15</v>
      </c>
      <c r="D21" t="inlineStr">
        <is>
          <t>Sessions — Filters &amp; Sort</t>
        </is>
      </c>
      <c r="E21" t="inlineStr">
        <is>
          <t>Configuration</t>
        </is>
      </c>
      <c r="F21" t="inlineStr">
        <is>
          <t>P2</t>
        </is>
      </c>
      <c r="G21" t="inlineStr">
        <is>
          <t>Sort cards by **Avg R:R** ascending then descending.</t>
        </is>
      </c>
      <c r="H21" t="inlineStr">
        <is>
          <t>Avg R:R</t>
        </is>
      </c>
      <c r="I21" t="inlineStr">
        <is>
          <t>Order changes correctly both directions.</t>
        </is>
      </c>
      <c r="J21" t="inlineStr">
        <is>
          <t>— Not tested</t>
        </is>
      </c>
      <c r="K21" t="inlineStr">
        <is>
          <t>— Not tested</t>
        </is>
      </c>
      <c r="L21" t="inlineStr">
        <is>
          <t>— Not tested</t>
        </is>
      </c>
    </row>
    <row r="22">
      <c r="A22" t="n">
        <v>160</v>
      </c>
      <c r="B22" t="inlineStr">
        <is>
          <t>2 — Sessions</t>
        </is>
      </c>
      <c r="C22" t="n">
        <v>15</v>
      </c>
      <c r="D22" t="inlineStr">
        <is>
          <t>Sessions — Filters &amp; Sort</t>
        </is>
      </c>
      <c r="E22" t="inlineStr">
        <is>
          <t>Configuration</t>
        </is>
      </c>
      <c r="F22" t="inlineStr">
        <is>
          <t>P2</t>
        </is>
      </c>
      <c r="G22" t="inlineStr">
        <is>
          <t>Sort cards by **Trades** ascending then descending.</t>
        </is>
      </c>
      <c r="H22" t="inlineStr">
        <is>
          <t>Trades</t>
        </is>
      </c>
      <c r="I22" t="inlineStr">
        <is>
          <t>Order changes correctly both directions.</t>
        </is>
      </c>
      <c r="J22" t="inlineStr">
        <is>
          <t>— Not tested</t>
        </is>
      </c>
      <c r="K22" t="inlineStr">
        <is>
          <t>— Not tested</t>
        </is>
      </c>
      <c r="L22" t="inlineStr">
        <is>
          <t>— Not tested</t>
        </is>
      </c>
    </row>
    <row r="23">
      <c r="A23" t="n">
        <v>161</v>
      </c>
      <c r="B23" t="inlineStr">
        <is>
          <t>2 — Sessions</t>
        </is>
      </c>
      <c r="C23" t="n">
        <v>15</v>
      </c>
      <c r="D23" t="inlineStr">
        <is>
          <t>Sessions — Filters &amp; Sort</t>
        </is>
      </c>
      <c r="E23" t="inlineStr">
        <is>
          <t>Configuration</t>
        </is>
      </c>
      <c r="F23" t="inlineStr">
        <is>
          <t>P2</t>
        </is>
      </c>
      <c r="G23" t="inlineStr">
        <is>
          <t>Sort cards by **Progress** ascending then descending.</t>
        </is>
      </c>
      <c r="H23" t="inlineStr">
        <is>
          <t>Progress</t>
        </is>
      </c>
      <c r="I23" t="inlineStr">
        <is>
          <t>Order changes correctly both directions.</t>
        </is>
      </c>
      <c r="J23" t="inlineStr">
        <is>
          <t>— Not tested</t>
        </is>
      </c>
      <c r="K23" t="inlineStr">
        <is>
          <t>— Not tested</t>
        </is>
      </c>
      <c r="L23" t="inlineStr">
        <is>
          <t>— Not tested</t>
        </is>
      </c>
    </row>
    <row r="24">
      <c r="A24" t="n">
        <v>162</v>
      </c>
      <c r="B24" t="inlineStr">
        <is>
          <t>2 — Sessions</t>
        </is>
      </c>
      <c r="C24" t="n">
        <v>15</v>
      </c>
      <c r="D24" t="inlineStr">
        <is>
          <t>Sessions — Filters &amp; Sort</t>
        </is>
      </c>
      <c r="E24" t="inlineStr">
        <is>
          <t>Edge</t>
        </is>
      </c>
      <c r="F24" t="inlineStr">
        <is>
          <t>P1</t>
        </is>
      </c>
      <c r="G24" t="inlineStr">
        <is>
          <t>Search session name partial.</t>
        </is>
      </c>
      <c r="H24" t="inlineStr">
        <is>
          <t>part of name</t>
        </is>
      </c>
      <c r="I24" t="inlineStr">
        <is>
          <t>Filters list.</t>
        </is>
      </c>
      <c r="J24" t="inlineStr">
        <is>
          <t>— Not tested</t>
        </is>
      </c>
      <c r="K24" t="inlineStr">
        <is>
          <t>— Not tested</t>
        </is>
      </c>
      <c r="L24" t="inlineStr">
        <is>
          <t>— Not tested</t>
        </is>
      </c>
    </row>
    <row r="25">
      <c r="A25" t="n">
        <v>163</v>
      </c>
      <c r="B25" t="inlineStr">
        <is>
          <t>2 — Sessions</t>
        </is>
      </c>
      <c r="C25" t="n">
        <v>15</v>
      </c>
      <c r="D25" t="inlineStr">
        <is>
          <t>Sessions — Filters &amp; Sort</t>
        </is>
      </c>
      <c r="E25" t="inlineStr">
        <is>
          <t>Edge</t>
        </is>
      </c>
      <c r="F25" t="inlineStr">
        <is>
          <t>P1</t>
        </is>
      </c>
      <c r="G25" t="inlineStr">
        <is>
          <t>Search by ticker symbol.</t>
        </is>
      </c>
      <c r="H25" t="inlineStr">
        <is>
          <t>EURUSD</t>
        </is>
      </c>
      <c r="I25" t="inlineStr">
        <is>
          <t>Sessions containing ticker shown.</t>
        </is>
      </c>
      <c r="J25" t="inlineStr">
        <is>
          <t>— Not tested</t>
        </is>
      </c>
      <c r="K25" t="inlineStr">
        <is>
          <t>— Not tested</t>
        </is>
      </c>
      <c r="L25" t="inlineStr">
        <is>
          <t>— Not tested</t>
        </is>
      </c>
    </row>
    <row r="26">
      <c r="A26" t="n">
        <v>164</v>
      </c>
      <c r="B26" t="inlineStr">
        <is>
          <t>2 — Sessions</t>
        </is>
      </c>
      <c r="C26" t="n">
        <v>15</v>
      </c>
      <c r="D26" t="inlineStr">
        <is>
          <t>Sessions — Filters &amp; Sort</t>
        </is>
      </c>
      <c r="E26" t="inlineStr">
        <is>
          <t>Edge</t>
        </is>
      </c>
      <c r="F26" t="inlineStr">
        <is>
          <t>P1</t>
        </is>
      </c>
      <c r="G26" t="inlineStr">
        <is>
          <t>Search by strategy name.</t>
        </is>
      </c>
      <c r="H26" t="inlineStr">
        <is>
          <t>strategy</t>
        </is>
      </c>
      <c r="I26" t="inlineStr">
        <is>
          <t>Filters correctly.</t>
        </is>
      </c>
      <c r="J26" t="inlineStr">
        <is>
          <t>— Not tested</t>
        </is>
      </c>
      <c r="K26" t="inlineStr">
        <is>
          <t>— Not tested</t>
        </is>
      </c>
      <c r="L26" t="inlineStr">
        <is>
          <t>— Not tested</t>
        </is>
      </c>
    </row>
    <row r="27">
      <c r="A27" t="n">
        <v>165</v>
      </c>
      <c r="B27" t="inlineStr">
        <is>
          <t>2 — Sessions</t>
        </is>
      </c>
      <c r="C27" t="n">
        <v>15</v>
      </c>
      <c r="D27" t="inlineStr">
        <is>
          <t>Sessions — Filters &amp; Sort</t>
        </is>
      </c>
      <c r="E27" t="inlineStr">
        <is>
          <t>Edge</t>
        </is>
      </c>
      <c r="F27" t="inlineStr">
        <is>
          <t>P2</t>
        </is>
      </c>
      <c r="G27" t="inlineStr">
        <is>
          <t>Escape clears search.</t>
        </is>
      </c>
      <c r="H27" t="inlineStr">
        <is>
          <t>Esc</t>
        </is>
      </c>
      <c r="I27" t="inlineStr">
        <is>
          <t>Search cleared.</t>
        </is>
      </c>
      <c r="J27" t="inlineStr">
        <is>
          <t>— Not tested</t>
        </is>
      </c>
      <c r="K27" t="inlineStr">
        <is>
          <t>— Not tested</t>
        </is>
      </c>
      <c r="L27" t="inlineStr">
        <is>
          <t>— Not tested</t>
        </is>
      </c>
    </row>
    <row r="28">
      <c r="A28" t="n">
        <v>166</v>
      </c>
      <c r="B28" t="inlineStr">
        <is>
          <t>2 — Sessions</t>
        </is>
      </c>
      <c r="C28" t="n">
        <v>15</v>
      </c>
      <c r="D28" t="inlineStr">
        <is>
          <t>Sessions — Filters &amp; Sort</t>
        </is>
      </c>
      <c r="E28" t="inlineStr">
        <is>
          <t>Edge</t>
        </is>
      </c>
      <c r="F28" t="inlineStr">
        <is>
          <t>P2</t>
        </is>
      </c>
      <c r="G28" t="inlineStr">
        <is>
          <t>Combine filter Active + search.</t>
        </is>
      </c>
      <c r="H28" t="inlineStr">
        <is>
          <t>both</t>
        </is>
      </c>
      <c r="I28" t="inlineStr">
        <is>
          <t>Intersection of filters.</t>
        </is>
      </c>
      <c r="J28" t="inlineStr">
        <is>
          <t>— Not tested</t>
        </is>
      </c>
      <c r="K28" t="inlineStr">
        <is>
          <t>— Not tested</t>
        </is>
      </c>
      <c r="L28" t="inlineStr">
        <is>
          <t>— Not tested</t>
        </is>
      </c>
    </row>
    <row r="29">
      <c r="A29" t="n">
        <v>167</v>
      </c>
      <c r="B29" t="inlineStr">
        <is>
          <t>2 — Sessions</t>
        </is>
      </c>
      <c r="C29" t="n">
        <v>16</v>
      </c>
      <c r="D29" t="inlineStr">
        <is>
          <t>Sessions — Row Actions by State</t>
        </is>
      </c>
      <c r="E29" t="inlineStr">
        <is>
          <t>Logic</t>
        </is>
      </c>
      <c r="F29" t="inlineStr">
        <is>
          <t>P0</t>
        </is>
      </c>
      <c r="G29" t="inlineStr">
        <is>
          <t>Not Started session: Resume ▶.</t>
        </is>
      </c>
      <c r="H29" t="inlineStr">
        <is>
          <t>progress=0</t>
        </is>
      </c>
      <c r="I29" t="inlineStr">
        <is>
          <t>Opens chart at start.</t>
        </is>
      </c>
      <c r="J29" t="inlineStr">
        <is>
          <t>— Not tested</t>
        </is>
      </c>
      <c r="K29" t="inlineStr">
        <is>
          <t>— Not tested</t>
        </is>
      </c>
      <c r="L29" t="inlineStr">
        <is>
          <t>— Not tested</t>
        </is>
      </c>
    </row>
    <row r="30">
      <c r="A30" t="n">
        <v>168</v>
      </c>
      <c r="B30" t="inlineStr">
        <is>
          <t>2 — Sessions</t>
        </is>
      </c>
      <c r="C30" t="n">
        <v>16</v>
      </c>
      <c r="D30" t="inlineStr">
        <is>
          <t>Sessions — Row Actions by State</t>
        </is>
      </c>
      <c r="E30" t="inlineStr">
        <is>
          <t>Logic</t>
        </is>
      </c>
      <c r="F30" t="inlineStr">
        <is>
          <t>P0</t>
        </is>
      </c>
      <c r="G30" t="inlineStr">
        <is>
          <t>Active session: Resume ▶.</t>
        </is>
      </c>
      <c r="H30" t="inlineStr">
        <is>
          <t>0&lt;progress&lt;100</t>
        </is>
      </c>
      <c r="I30" t="inlineStr">
        <is>
          <t>Continues from saved bar.</t>
        </is>
      </c>
      <c r="J30" t="inlineStr">
        <is>
          <t>— Not tested</t>
        </is>
      </c>
      <c r="K30" t="inlineStr">
        <is>
          <t>— Not tested</t>
        </is>
      </c>
      <c r="L30" t="inlineStr">
        <is>
          <t>— Not tested</t>
        </is>
      </c>
    </row>
    <row r="31">
      <c r="A31" t="n">
        <v>169</v>
      </c>
      <c r="B31" t="inlineStr">
        <is>
          <t>2 — Sessions</t>
        </is>
      </c>
      <c r="C31" t="n">
        <v>16</v>
      </c>
      <c r="D31" t="inlineStr">
        <is>
          <t>Sessions — Row Actions by State</t>
        </is>
      </c>
      <c r="E31" t="inlineStr">
        <is>
          <t>Logic</t>
        </is>
      </c>
      <c r="F31" t="inlineStr">
        <is>
          <t>P1</t>
        </is>
      </c>
      <c r="G31" t="inlineStr">
        <is>
          <t>Completed session: Resume ▶.</t>
        </is>
      </c>
      <c r="H31" t="inlineStr">
        <is>
          <t>progress=100</t>
        </is>
      </c>
      <c r="I31" t="inlineStr">
        <is>
          <t>Opens at end or review mode — note behavior.</t>
        </is>
      </c>
      <c r="J31" t="inlineStr">
        <is>
          <t>— Not tested</t>
        </is>
      </c>
      <c r="K31" t="inlineStr">
        <is>
          <t>— Not tested</t>
        </is>
      </c>
      <c r="L31" t="inlineStr">
        <is>
          <t>— Not tested</t>
        </is>
      </c>
    </row>
    <row r="32">
      <c r="A32" t="n">
        <v>170</v>
      </c>
      <c r="B32" t="inlineStr">
        <is>
          <t>2 — Sessions</t>
        </is>
      </c>
      <c r="C32" t="n">
        <v>16</v>
      </c>
      <c r="D32" t="inlineStr">
        <is>
          <t>Sessions — Row Actions by State</t>
        </is>
      </c>
      <c r="E32" t="inlineStr">
        <is>
          <t>Logic</t>
        </is>
      </c>
      <c r="F32" t="inlineStr">
        <is>
          <t>P0</t>
        </is>
      </c>
      <c r="G32" t="inlineStr">
        <is>
          <t>⋯ → Edit on Not Started.</t>
        </is>
      </c>
      <c r="H32" t="inlineStr">
        <is>
          <t>—</t>
        </is>
      </c>
      <c r="I32" t="inlineStr">
        <is>
          <t>Session modal edit mode.</t>
        </is>
      </c>
      <c r="J32" t="inlineStr">
        <is>
          <t>— Not tested</t>
        </is>
      </c>
      <c r="K32" t="inlineStr">
        <is>
          <t>— Not tested</t>
        </is>
      </c>
      <c r="L32" t="inlineStr">
        <is>
          <t>— Not tested</t>
        </is>
      </c>
    </row>
    <row r="33">
      <c r="A33" t="n">
        <v>171</v>
      </c>
      <c r="B33" t="inlineStr">
        <is>
          <t>2 — Sessions</t>
        </is>
      </c>
      <c r="C33" t="n">
        <v>16</v>
      </c>
      <c r="D33" t="inlineStr">
        <is>
          <t>Sessions — Row Actions by State</t>
        </is>
      </c>
      <c r="E33" t="inlineStr">
        <is>
          <t>Logic</t>
        </is>
      </c>
      <c r="F33" t="inlineStr">
        <is>
          <t>P0</t>
        </is>
      </c>
      <c r="G33" t="inlineStr">
        <is>
          <t>⋯ → Edit on Active (started).</t>
        </is>
      </c>
      <c r="H33" t="inlineStr">
        <is>
          <t>—</t>
        </is>
      </c>
      <c r="I33" t="inlineStr">
        <is>
          <t>Edit DISABLED.</t>
        </is>
      </c>
      <c r="J33" t="inlineStr">
        <is>
          <t>— Not tested</t>
        </is>
      </c>
      <c r="K33" t="inlineStr">
        <is>
          <t>— Not tested</t>
        </is>
      </c>
      <c r="L33" t="inlineStr">
        <is>
          <t>— Not tested</t>
        </is>
      </c>
    </row>
    <row r="34">
      <c r="A34" t="n">
        <v>172</v>
      </c>
      <c r="B34" t="inlineStr">
        <is>
          <t>2 — Sessions</t>
        </is>
      </c>
      <c r="C34" t="n">
        <v>16</v>
      </c>
      <c r="D34" t="inlineStr">
        <is>
          <t>Sessions — Row Actions by State</t>
        </is>
      </c>
      <c r="E34" t="inlineStr">
        <is>
          <t>Logic</t>
        </is>
      </c>
      <c r="F34" t="inlineStr">
        <is>
          <t>P1</t>
        </is>
      </c>
      <c r="G34" t="inlineStr">
        <is>
          <t>⋯ → Duplicate.</t>
        </is>
      </c>
      <c r="H34" t="inlineStr">
        <is>
          <t>—</t>
        </is>
      </c>
      <c r="I34" t="inlineStr">
        <is>
          <t>Copy created.</t>
        </is>
      </c>
      <c r="J34" t="inlineStr">
        <is>
          <t>— Not tested</t>
        </is>
      </c>
      <c r="K34" t="inlineStr">
        <is>
          <t>— Not tested</t>
        </is>
      </c>
      <c r="L34" t="inlineStr">
        <is>
          <t>— Not tested</t>
        </is>
      </c>
    </row>
    <row r="35">
      <c r="A35" t="n">
        <v>173</v>
      </c>
      <c r="B35" t="inlineStr">
        <is>
          <t>2 — Sessions</t>
        </is>
      </c>
      <c r="C35" t="n">
        <v>16</v>
      </c>
      <c r="D35" t="inlineStr">
        <is>
          <t>Sessions — Row Actions by State</t>
        </is>
      </c>
      <c r="E35" t="inlineStr">
        <is>
          <t>Logic</t>
        </is>
      </c>
      <c r="F35" t="inlineStr">
        <is>
          <t>P1</t>
        </is>
      </c>
      <c r="G35" t="inlineStr">
        <is>
          <t>⋯ → Delete → cancel.</t>
        </is>
      </c>
      <c r="H35" t="inlineStr">
        <is>
          <t>—</t>
        </is>
      </c>
      <c r="I35" t="inlineStr">
        <is>
          <t>Session kept.</t>
        </is>
      </c>
      <c r="J35" t="inlineStr">
        <is>
          <t>— Not tested</t>
        </is>
      </c>
      <c r="K35" t="inlineStr">
        <is>
          <t>— Not tested</t>
        </is>
      </c>
      <c r="L35" t="inlineStr">
        <is>
          <t>— Not tested</t>
        </is>
      </c>
    </row>
    <row r="36">
      <c r="A36" t="n">
        <v>174</v>
      </c>
      <c r="B36" t="inlineStr">
        <is>
          <t>2 — Sessions</t>
        </is>
      </c>
      <c r="C36" t="n">
        <v>16</v>
      </c>
      <c r="D36" t="inlineStr">
        <is>
          <t>Sessions — Row Actions by State</t>
        </is>
      </c>
      <c r="E36" t="inlineStr">
        <is>
          <t>Logic</t>
        </is>
      </c>
      <c r="F36" t="inlineStr">
        <is>
          <t>P1</t>
        </is>
      </c>
      <c r="G36" t="inlineStr">
        <is>
          <t>⋯ → Delete → confirm.</t>
        </is>
      </c>
      <c r="H36" t="inlineStr">
        <is>
          <t>—</t>
        </is>
      </c>
      <c r="I36" t="inlineStr">
        <is>
          <t>Session removed.</t>
        </is>
      </c>
      <c r="J36" t="inlineStr">
        <is>
          <t>— Not tested</t>
        </is>
      </c>
      <c r="K36" t="inlineStr">
        <is>
          <t>— Not tested</t>
        </is>
      </c>
      <c r="L36" t="inlineStr">
        <is>
          <t>— Not tested</t>
        </is>
      </c>
    </row>
    <row r="37">
      <c r="A37" t="n">
        <v>175</v>
      </c>
      <c r="B37" t="inlineStr">
        <is>
          <t>2 — Sessions</t>
        </is>
      </c>
      <c r="C37" t="n">
        <v>16</v>
      </c>
      <c r="D37" t="inlineStr">
        <is>
          <t>Sessions — Row Actions by State</t>
        </is>
      </c>
      <c r="E37" t="inlineStr">
        <is>
          <t>Logic</t>
        </is>
      </c>
      <c r="F37" t="inlineStr">
        <is>
          <t>P1</t>
        </is>
      </c>
      <c r="G37" t="inlineStr">
        <is>
          <t>Journal session ⋯ → Add Trade.</t>
        </is>
      </c>
      <c r="H37" t="inlineStr">
        <is>
          <t>—</t>
        </is>
      </c>
      <c r="I37" t="inlineStr">
        <is>
          <t>Opens add trade for journal.</t>
        </is>
      </c>
      <c r="J37" t="inlineStr">
        <is>
          <t>— Not tested</t>
        </is>
      </c>
      <c r="K37" t="inlineStr">
        <is>
          <t>— Not tested</t>
        </is>
      </c>
      <c r="L37" t="inlineStr">
        <is>
          <t>— Not tested</t>
        </is>
      </c>
    </row>
    <row r="38">
      <c r="A38" t="n">
        <v>176</v>
      </c>
      <c r="B38" t="inlineStr">
        <is>
          <t>2 — Sessions</t>
        </is>
      </c>
      <c r="C38" t="n">
        <v>16</v>
      </c>
      <c r="D38" t="inlineStr">
        <is>
          <t>Sessions — Row Actions by State</t>
        </is>
      </c>
      <c r="E38" t="inlineStr">
        <is>
          <t>Logic</t>
        </is>
      </c>
      <c r="F38" t="inlineStr">
        <is>
          <t>P2</t>
        </is>
      </c>
      <c r="G38" t="inlineStr">
        <is>
          <t>Journal ⋯ → Edit Journal (no live account).</t>
        </is>
      </c>
      <c r="H38" t="inlineStr">
        <is>
          <t>—</t>
        </is>
      </c>
      <c r="I38" t="inlineStr">
        <is>
          <t>Disabled if no account.</t>
        </is>
      </c>
      <c r="J38" t="inlineStr">
        <is>
          <t>— Not tested</t>
        </is>
      </c>
      <c r="K38" t="inlineStr">
        <is>
          <t>— Not tested</t>
        </is>
      </c>
      <c r="L38" t="inlineStr">
        <is>
          <t>— Not tested</t>
        </is>
      </c>
    </row>
    <row r="39">
      <c r="A39" t="n">
        <v>177</v>
      </c>
      <c r="B39" t="inlineStr">
        <is>
          <t>2 — Sessions</t>
        </is>
      </c>
      <c r="C39" t="n">
        <v>17</v>
      </c>
      <c r="D39" t="inlineStr">
        <is>
          <t>New Session — Kind Picker</t>
        </is>
      </c>
      <c r="E39" t="inlineStr">
        <is>
          <t>Configuration</t>
        </is>
      </c>
      <c r="F39" t="inlineStr">
        <is>
          <t>P0</t>
        </is>
      </c>
      <c r="G39" t="inlineStr">
        <is>
          <t>New Session → Backtest.</t>
        </is>
      </c>
      <c r="H39" t="inlineStr">
        <is>
          <t>—</t>
        </is>
      </c>
      <c r="I39" t="inlineStr">
        <is>
          <t>Backtest modal opens.</t>
        </is>
      </c>
      <c r="J39" t="inlineStr">
        <is>
          <t>— Not tested</t>
        </is>
      </c>
      <c r="K39" t="inlineStr">
        <is>
          <t>— Not tested</t>
        </is>
      </c>
      <c r="L39" t="inlineStr">
        <is>
          <t>— Not tested</t>
        </is>
      </c>
    </row>
    <row r="40">
      <c r="A40" t="n">
        <v>178</v>
      </c>
      <c r="B40" t="inlineStr">
        <is>
          <t>2 — Sessions</t>
        </is>
      </c>
      <c r="C40" t="n">
        <v>17</v>
      </c>
      <c r="D40" t="inlineStr">
        <is>
          <t>New Session — Kind Picker</t>
        </is>
      </c>
      <c r="E40" t="inlineStr">
        <is>
          <t>Configuration</t>
        </is>
      </c>
      <c r="F40" t="inlineStr">
        <is>
          <t>P1</t>
        </is>
      </c>
      <c r="G40" t="inlineStr">
        <is>
          <t>New Session → Journal → Real account.</t>
        </is>
      </c>
      <c r="H40" t="inlineStr">
        <is>
          <t>—</t>
        </is>
      </c>
      <c r="I40" t="inlineStr">
        <is>
          <t>Journal flow continues.</t>
        </is>
      </c>
      <c r="J40" t="inlineStr">
        <is>
          <t>— Not tested</t>
        </is>
      </c>
      <c r="K40" t="inlineStr">
        <is>
          <t>— Not tested</t>
        </is>
      </c>
      <c r="L40" t="inlineStr">
        <is>
          <t>— Not tested</t>
        </is>
      </c>
    </row>
    <row r="41">
      <c r="A41" t="n">
        <v>179</v>
      </c>
      <c r="B41" t="inlineStr">
        <is>
          <t>2 — Sessions</t>
        </is>
      </c>
      <c r="C41" t="n">
        <v>17</v>
      </c>
      <c r="D41" t="inlineStr">
        <is>
          <t>New Session — Kind Picker</t>
        </is>
      </c>
      <c r="E41" t="inlineStr">
        <is>
          <t>Configuration</t>
        </is>
      </c>
      <c r="F41" t="inlineStr">
        <is>
          <t>P1</t>
        </is>
      </c>
      <c r="G41" t="inlineStr">
        <is>
          <t>New Session → Journal → Prop firm.</t>
        </is>
      </c>
      <c r="H41" t="inlineStr">
        <is>
          <t>—</t>
        </is>
      </c>
      <c r="I41" t="inlineStr">
        <is>
          <t>Prop journal path.</t>
        </is>
      </c>
      <c r="J41" t="inlineStr">
        <is>
          <t>— Not tested</t>
        </is>
      </c>
      <c r="K41" t="inlineStr">
        <is>
          <t>— Not tested</t>
        </is>
      </c>
      <c r="L41" t="inlineStr">
        <is>
          <t>— Not tested</t>
        </is>
      </c>
    </row>
    <row r="42">
      <c r="A42" t="n">
        <v>180</v>
      </c>
      <c r="B42" t="inlineStr">
        <is>
          <t>2 — Sessions</t>
        </is>
      </c>
      <c r="C42" t="n">
        <v>17</v>
      </c>
      <c r="D42" t="inlineStr">
        <is>
          <t>New Session — Kind Picker</t>
        </is>
      </c>
      <c r="E42" t="inlineStr">
        <is>
          <t>Configuration</t>
        </is>
      </c>
      <c r="F42" t="inlineStr">
        <is>
          <t>P1</t>
        </is>
      </c>
      <c r="G42" t="inlineStr">
        <is>
          <t>Manual trades option.</t>
        </is>
      </c>
      <c r="H42" t="inlineStr">
        <is>
          <t>—</t>
        </is>
      </c>
      <c r="I42" t="inlineStr">
        <is>
          <t>Selectable.</t>
        </is>
      </c>
      <c r="J42" t="inlineStr">
        <is>
          <t>— Not tested</t>
        </is>
      </c>
      <c r="K42" t="inlineStr">
        <is>
          <t>— Not tested</t>
        </is>
      </c>
      <c r="L42" t="inlineStr">
        <is>
          <t>— Not tested</t>
        </is>
      </c>
    </row>
    <row r="43">
      <c r="A43" t="n">
        <v>181</v>
      </c>
      <c r="B43" t="inlineStr">
        <is>
          <t>2 — Sessions</t>
        </is>
      </c>
      <c r="C43" t="n">
        <v>17</v>
      </c>
      <c r="D43" t="inlineStr">
        <is>
          <t>New Session — Kind Picker</t>
        </is>
      </c>
      <c r="E43" t="inlineStr">
        <is>
          <t>Configuration</t>
        </is>
      </c>
      <c r="F43" t="inlineStr">
        <is>
          <t>P2</t>
        </is>
      </c>
      <c r="G43" t="inlineStr">
        <is>
          <t>CSV import — Coming Soon.</t>
        </is>
      </c>
      <c r="H43" t="inlineStr">
        <is>
          <t>—</t>
        </is>
      </c>
      <c r="I43" t="inlineStr">
        <is>
          <t>Disabled or blocked.</t>
        </is>
      </c>
      <c r="J43" t="inlineStr">
        <is>
          <t>— Not tested</t>
        </is>
      </c>
      <c r="K43" t="inlineStr">
        <is>
          <t>— Not tested</t>
        </is>
      </c>
      <c r="L43" t="inlineStr">
        <is>
          <t>— Not tested</t>
        </is>
      </c>
    </row>
    <row r="44">
      <c r="A44" t="n">
        <v>182</v>
      </c>
      <c r="B44" t="inlineStr">
        <is>
          <t>2 — Sessions</t>
        </is>
      </c>
      <c r="C44" t="n">
        <v>17</v>
      </c>
      <c r="D44" t="inlineStr">
        <is>
          <t>New Session — Kind Picker</t>
        </is>
      </c>
      <c r="E44" t="inlineStr">
        <is>
          <t>Configuration</t>
        </is>
      </c>
      <c r="F44" t="inlineStr">
        <is>
          <t>P2</t>
        </is>
      </c>
      <c r="G44" t="inlineStr">
        <is>
          <t>Link broker — Coming Soon.</t>
        </is>
      </c>
      <c r="H44" t="inlineStr">
        <is>
          <t>—</t>
        </is>
      </c>
      <c r="I44" t="inlineStr">
        <is>
          <t>Disabled or blocked.</t>
        </is>
      </c>
      <c r="J44" t="inlineStr">
        <is>
          <t>— Not tested</t>
        </is>
      </c>
      <c r="K44" t="inlineStr">
        <is>
          <t>— Not tested</t>
        </is>
      </c>
      <c r="L44" t="inlineStr">
        <is>
          <t>— Not tested</t>
        </is>
      </c>
    </row>
    <row r="45">
      <c r="A45" t="n">
        <v>183</v>
      </c>
      <c r="B45" t="inlineStr">
        <is>
          <t>2 — Sessions</t>
        </is>
      </c>
      <c r="C45" t="n">
        <v>18</v>
      </c>
      <c r="D45" t="inlineStr">
        <is>
          <t>Add Session — Session Info Fields</t>
        </is>
      </c>
      <c r="E45" t="inlineStr">
        <is>
          <t>Input matrix</t>
        </is>
      </c>
      <c r="F45" t="inlineStr">
        <is>
          <t>P0</t>
        </is>
      </c>
      <c r="G45" t="inlineStr">
        <is>
          <t>Session name empty.</t>
        </is>
      </c>
      <c r="H45" t="inlineStr"/>
      <c r="I45" t="inlineStr">
        <is>
          <t>Save/Start disabled.</t>
        </is>
      </c>
      <c r="J45" t="inlineStr">
        <is>
          <t>— Not tested</t>
        </is>
      </c>
      <c r="K45" t="inlineStr">
        <is>
          <t>— Not tested</t>
        </is>
      </c>
      <c r="L45" t="inlineStr">
        <is>
          <t>— Not tested</t>
        </is>
      </c>
    </row>
    <row r="46">
      <c r="A46" t="n">
        <v>184</v>
      </c>
      <c r="B46" t="inlineStr">
        <is>
          <t>2 — Sessions</t>
        </is>
      </c>
      <c r="C46" t="n">
        <v>18</v>
      </c>
      <c r="D46" t="inlineStr">
        <is>
          <t>Add Session — Session Info Fields</t>
        </is>
      </c>
      <c r="E46" t="inlineStr">
        <is>
          <t>Input matrix</t>
        </is>
      </c>
      <c r="F46" t="inlineStr">
        <is>
          <t>P2</t>
        </is>
      </c>
      <c r="G46" t="inlineStr">
        <is>
          <t>Session name 1 char.</t>
        </is>
      </c>
      <c r="H46" t="inlineStr">
        <is>
          <t>A</t>
        </is>
      </c>
      <c r="I46" t="inlineStr">
        <is>
          <t>Accepted.</t>
        </is>
      </c>
      <c r="J46" t="inlineStr">
        <is>
          <t>— Not tested</t>
        </is>
      </c>
      <c r="K46" t="inlineStr">
        <is>
          <t>— Not tested</t>
        </is>
      </c>
      <c r="L46" t="inlineStr">
        <is>
          <t>— Not tested</t>
        </is>
      </c>
    </row>
    <row r="47">
      <c r="A47" t="n">
        <v>185</v>
      </c>
      <c r="B47" t="inlineStr">
        <is>
          <t>2 — Sessions</t>
        </is>
      </c>
      <c r="C47" t="n">
        <v>18</v>
      </c>
      <c r="D47" t="inlineStr">
        <is>
          <t>Add Session — Session Info Fields</t>
        </is>
      </c>
      <c r="E47" t="inlineStr">
        <is>
          <t>Input matrix</t>
        </is>
      </c>
      <c r="F47" t="inlineStr">
        <is>
          <t>P2</t>
        </is>
      </c>
      <c r="G47" t="inlineStr">
        <is>
          <t>Session name very long (200+ chars).</t>
        </is>
      </c>
      <c r="H47" t="inlineStr">
        <is>
          <t>long</t>
        </is>
      </c>
      <c r="I47" t="inlineStr">
        <is>
          <t>Truncated or accepted — note limit.</t>
        </is>
      </c>
      <c r="J47" t="inlineStr">
        <is>
          <t>— Not tested</t>
        </is>
      </c>
      <c r="K47" t="inlineStr">
        <is>
          <t>— Not tested</t>
        </is>
      </c>
      <c r="L47" t="inlineStr">
        <is>
          <t>— Not tested</t>
        </is>
      </c>
    </row>
    <row r="48">
      <c r="A48" t="n">
        <v>186</v>
      </c>
      <c r="B48" t="inlineStr">
        <is>
          <t>2 — Sessions</t>
        </is>
      </c>
      <c r="C48" t="n">
        <v>18</v>
      </c>
      <c r="D48" t="inlineStr">
        <is>
          <t>Add Session — Session Info Fields</t>
        </is>
      </c>
      <c r="E48" t="inlineStr">
        <is>
          <t>Input matrix</t>
        </is>
      </c>
      <c r="F48" t="inlineStr">
        <is>
          <t>P1</t>
        </is>
      </c>
      <c r="G48" t="inlineStr">
        <is>
          <t>Session name special chars.</t>
        </is>
      </c>
      <c r="H48" t="inlineStr">
        <is>
          <t>Test &amp; &lt; &gt;</t>
        </is>
      </c>
      <c r="I48" t="inlineStr">
        <is>
          <t>Displays safely.</t>
        </is>
      </c>
      <c r="J48" t="inlineStr">
        <is>
          <t>— Not tested</t>
        </is>
      </c>
      <c r="K48" t="inlineStr">
        <is>
          <t>— Not tested</t>
        </is>
      </c>
      <c r="L48" t="inlineStr">
        <is>
          <t>— Not tested</t>
        </is>
      </c>
    </row>
    <row r="49">
      <c r="A49" t="n">
        <v>187</v>
      </c>
      <c r="B49" t="inlineStr">
        <is>
          <t>2 — Sessions</t>
        </is>
      </c>
      <c r="C49" t="n">
        <v>18</v>
      </c>
      <c r="D49" t="inlineStr">
        <is>
          <t>Add Session — Session Info Fields</t>
        </is>
      </c>
      <c r="E49" t="inlineStr">
        <is>
          <t>Input matrix</t>
        </is>
      </c>
      <c r="F49" t="inlineStr">
        <is>
          <t>P1</t>
        </is>
      </c>
      <c r="G49" t="inlineStr">
        <is>
          <t>Strategy = None.</t>
        </is>
      </c>
      <c r="H49" t="inlineStr">
        <is>
          <t>None</t>
        </is>
      </c>
      <c r="I49" t="inlineStr">
        <is>
          <t>Session saves without linked strategy.</t>
        </is>
      </c>
      <c r="J49" t="inlineStr">
        <is>
          <t>— Not tested</t>
        </is>
      </c>
      <c r="K49" t="inlineStr">
        <is>
          <t>— Not tested</t>
        </is>
      </c>
      <c r="L49" t="inlineStr">
        <is>
          <t>— Not tested</t>
        </is>
      </c>
    </row>
    <row r="50">
      <c r="A50" t="n">
        <v>188</v>
      </c>
      <c r="B50" t="inlineStr">
        <is>
          <t>2 — Sessions</t>
        </is>
      </c>
      <c r="C50" t="n">
        <v>18</v>
      </c>
      <c r="D50" t="inlineStr">
        <is>
          <t>Add Session — Session Info Fields</t>
        </is>
      </c>
      <c r="E50" t="inlineStr">
        <is>
          <t>Input matrix</t>
        </is>
      </c>
      <c r="F50" t="inlineStr">
        <is>
          <t>P1</t>
        </is>
      </c>
      <c r="G50" t="inlineStr">
        <is>
          <t>Strategy = pick each of your strategies.</t>
        </is>
      </c>
      <c r="H50" t="inlineStr">
        <is>
          <t>each</t>
        </is>
      </c>
      <c r="I50" t="inlineStr">
        <is>
          <t>Strategy name links.</t>
        </is>
      </c>
      <c r="J50" t="inlineStr">
        <is>
          <t>— Not tested</t>
        </is>
      </c>
      <c r="K50" t="inlineStr">
        <is>
          <t>— Not tested</t>
        </is>
      </c>
      <c r="L50" t="inlineStr">
        <is>
          <t>— Not tested</t>
        </is>
      </c>
    </row>
    <row r="51">
      <c r="A51" t="n">
        <v>189</v>
      </c>
      <c r="B51" t="inlineStr">
        <is>
          <t>2 — Sessions</t>
        </is>
      </c>
      <c r="C51" t="n">
        <v>18</v>
      </c>
      <c r="D51" t="inlineStr">
        <is>
          <t>Add Session — Session Info Fields</t>
        </is>
      </c>
      <c r="E51" t="inlineStr">
        <is>
          <t>Input matrix</t>
        </is>
      </c>
      <c r="F51" t="inlineStr">
        <is>
          <t>P2</t>
        </is>
      </c>
      <c r="G51" t="inlineStr">
        <is>
          <t>New Strategy shortcut.</t>
        </is>
      </c>
      <c r="H51" t="inlineStr">
        <is>
          <t>—</t>
        </is>
      </c>
      <c r="I51" t="inlineStr">
        <is>
          <t>Navigates to strategy create.</t>
        </is>
      </c>
      <c r="J51" t="inlineStr">
        <is>
          <t>— Not tested</t>
        </is>
      </c>
      <c r="K51" t="inlineStr">
        <is>
          <t>— Not tested</t>
        </is>
      </c>
      <c r="L51" t="inlineStr">
        <is>
          <t>— Not tested</t>
        </is>
      </c>
    </row>
    <row r="52">
      <c r="A52" t="n">
        <v>190</v>
      </c>
      <c r="B52" t="inlineStr">
        <is>
          <t>2 — Sessions</t>
        </is>
      </c>
      <c r="C52" t="n">
        <v>18</v>
      </c>
      <c r="D52" t="inlineStr">
        <is>
          <t>Add Session — Session Info Fields</t>
        </is>
      </c>
      <c r="E52" t="inlineStr">
        <is>
          <t>Input matrix</t>
        </is>
      </c>
      <c r="F52" t="inlineStr">
        <is>
          <t>P2</t>
        </is>
      </c>
      <c r="G52" t="inlineStr">
        <is>
          <t>Description empty vs filled.</t>
        </is>
      </c>
      <c r="H52" t="inlineStr">
        <is>
          <t>paragraph</t>
        </is>
      </c>
      <c r="I52" t="inlineStr">
        <is>
          <t>Saves both cases.</t>
        </is>
      </c>
      <c r="J52" t="inlineStr">
        <is>
          <t>— Not tested</t>
        </is>
      </c>
      <c r="K52" t="inlineStr">
        <is>
          <t>— Not tested</t>
        </is>
      </c>
      <c r="L52" t="inlineStr">
        <is>
          <t>— Not tested</t>
        </is>
      </c>
    </row>
    <row r="53">
      <c r="A53" t="n">
        <v>191</v>
      </c>
      <c r="B53" t="inlineStr">
        <is>
          <t>2 — Sessions</t>
        </is>
      </c>
      <c r="C53" t="n">
        <v>19</v>
      </c>
      <c r="D53" t="inlineStr">
        <is>
          <t>Add Session — Asset Class &amp; Symbols</t>
        </is>
      </c>
      <c r="E53" t="inlineStr">
        <is>
          <t>Configuration</t>
        </is>
      </c>
      <c r="F53" t="inlineStr">
        <is>
          <t>P0</t>
        </is>
      </c>
      <c r="G53" t="inlineStr">
        <is>
          <t>Set asset class **Forex**; open symbol picker.</t>
        </is>
      </c>
      <c r="H53" t="inlineStr">
        <is>
          <t>Forex</t>
        </is>
      </c>
      <c r="I53" t="inlineStr">
        <is>
          <t>Picker shows Forex symbols; can add to session.</t>
        </is>
      </c>
      <c r="J53" t="inlineStr">
        <is>
          <t>— Not tested</t>
        </is>
      </c>
      <c r="K53" t="inlineStr">
        <is>
          <t>— Not tested</t>
        </is>
      </c>
      <c r="L53" t="inlineStr">
        <is>
          <t>— Not tested</t>
        </is>
      </c>
    </row>
    <row r="54">
      <c r="A54" t="n">
        <v>192</v>
      </c>
      <c r="B54" t="inlineStr">
        <is>
          <t>2 — Sessions</t>
        </is>
      </c>
      <c r="C54" t="n">
        <v>19</v>
      </c>
      <c r="D54" t="inlineStr">
        <is>
          <t>Add Session — Asset Class &amp; Symbols</t>
        </is>
      </c>
      <c r="E54" t="inlineStr">
        <is>
          <t>Configuration</t>
        </is>
      </c>
      <c r="F54" t="inlineStr">
        <is>
          <t>P0</t>
        </is>
      </c>
      <c r="G54" t="inlineStr">
        <is>
          <t>Set asset class **Futures**; open symbol picker.</t>
        </is>
      </c>
      <c r="H54" t="inlineStr">
        <is>
          <t>Futures</t>
        </is>
      </c>
      <c r="I54" t="inlineStr">
        <is>
          <t>Picker shows Futures symbols; can add to session.</t>
        </is>
      </c>
      <c r="J54" t="inlineStr">
        <is>
          <t>— Not tested</t>
        </is>
      </c>
      <c r="K54" t="inlineStr">
        <is>
          <t>— Not tested</t>
        </is>
      </c>
      <c r="L54" t="inlineStr">
        <is>
          <t>— Not tested</t>
        </is>
      </c>
    </row>
    <row r="55">
      <c r="A55" t="n">
        <v>193</v>
      </c>
      <c r="B55" t="inlineStr">
        <is>
          <t>2 — Sessions</t>
        </is>
      </c>
      <c r="C55" t="n">
        <v>19</v>
      </c>
      <c r="D55" t="inlineStr">
        <is>
          <t>Add Session — Asset Class &amp; Symbols</t>
        </is>
      </c>
      <c r="E55" t="inlineStr">
        <is>
          <t>Configuration</t>
        </is>
      </c>
      <c r="F55" t="inlineStr">
        <is>
          <t>P0</t>
        </is>
      </c>
      <c r="G55" t="inlineStr">
        <is>
          <t>Set asset class **Stocks**; open symbol picker.</t>
        </is>
      </c>
      <c r="H55" t="inlineStr">
        <is>
          <t>Stocks</t>
        </is>
      </c>
      <c r="I55" t="inlineStr">
        <is>
          <t>Picker shows Stocks symbols; can add to session.</t>
        </is>
      </c>
      <c r="J55" t="inlineStr">
        <is>
          <t>— Not tested</t>
        </is>
      </c>
      <c r="K55" t="inlineStr">
        <is>
          <t>— Not tested</t>
        </is>
      </c>
      <c r="L55" t="inlineStr">
        <is>
          <t>— Not tested</t>
        </is>
      </c>
    </row>
    <row r="56">
      <c r="A56" t="n">
        <v>194</v>
      </c>
      <c r="B56" t="inlineStr">
        <is>
          <t>2 — Sessions</t>
        </is>
      </c>
      <c r="C56" t="n">
        <v>19</v>
      </c>
      <c r="D56" t="inlineStr">
        <is>
          <t>Add Session — Asset Class &amp; Symbols</t>
        </is>
      </c>
      <c r="E56" t="inlineStr">
        <is>
          <t>Configuration</t>
        </is>
      </c>
      <c r="F56" t="inlineStr">
        <is>
          <t>P0</t>
        </is>
      </c>
      <c r="G56" t="inlineStr">
        <is>
          <t>Set asset class **Crypto**; open symbol picker.</t>
        </is>
      </c>
      <c r="H56" t="inlineStr">
        <is>
          <t>Crypto</t>
        </is>
      </c>
      <c r="I56" t="inlineStr">
        <is>
          <t>Picker shows Crypto symbols; can add to session.</t>
        </is>
      </c>
      <c r="J56" t="inlineStr">
        <is>
          <t>— Not tested</t>
        </is>
      </c>
      <c r="K56" t="inlineStr">
        <is>
          <t>— Not tested</t>
        </is>
      </c>
      <c r="L56" t="inlineStr">
        <is>
          <t>— Not tested</t>
        </is>
      </c>
    </row>
    <row r="57">
      <c r="A57" t="n">
        <v>195</v>
      </c>
      <c r="B57" t="inlineStr">
        <is>
          <t>2 — Sessions</t>
        </is>
      </c>
      <c r="C57" t="n">
        <v>19</v>
      </c>
      <c r="D57" t="inlineStr">
        <is>
          <t>Add Session — Asset Class &amp; Symbols</t>
        </is>
      </c>
      <c r="E57" t="inlineStr">
        <is>
          <t>Edge</t>
        </is>
      </c>
      <c r="F57" t="inlineStr">
        <is>
          <t>P0</t>
        </is>
      </c>
      <c r="G57" t="inlineStr">
        <is>
          <t>Add 1 primary ticker.</t>
        </is>
      </c>
      <c r="H57" t="inlineStr">
        <is>
          <t>EURUSD</t>
        </is>
      </c>
      <c r="I57" t="inlineStr">
        <is>
          <t>Chip appears; required met.</t>
        </is>
      </c>
      <c r="J57" t="inlineStr">
        <is>
          <t>— Not tested</t>
        </is>
      </c>
      <c r="K57" t="inlineStr">
        <is>
          <t>— Not tested</t>
        </is>
      </c>
      <c r="L57" t="inlineStr">
        <is>
          <t>— Not tested</t>
        </is>
      </c>
    </row>
    <row r="58">
      <c r="A58" t="n">
        <v>196</v>
      </c>
      <c r="B58" t="inlineStr">
        <is>
          <t>2 — Sessions</t>
        </is>
      </c>
      <c r="C58" t="n">
        <v>19</v>
      </c>
      <c r="D58" t="inlineStr">
        <is>
          <t>Add Session — Asset Class &amp; Symbols</t>
        </is>
      </c>
      <c r="E58" t="inlineStr">
        <is>
          <t>Edge</t>
        </is>
      </c>
      <c r="F58" t="inlineStr">
        <is>
          <t>P0</t>
        </is>
      </c>
      <c r="G58" t="inlineStr">
        <is>
          <t>Add tickers up to plan max (default 5).</t>
        </is>
      </c>
      <c r="H58" t="inlineStr">
        <is>
          <t>5 symbols</t>
        </is>
      </c>
      <c r="I58" t="inlineStr">
        <is>
          <t>Counter shows 5/5.</t>
        </is>
      </c>
      <c r="J58" t="inlineStr">
        <is>
          <t>— Not tested</t>
        </is>
      </c>
      <c r="K58" t="inlineStr">
        <is>
          <t>— Not tested</t>
        </is>
      </c>
      <c r="L58" t="inlineStr">
        <is>
          <t>— Not tested</t>
        </is>
      </c>
    </row>
    <row r="59">
      <c r="A59" t="n">
        <v>197</v>
      </c>
      <c r="B59" t="inlineStr">
        <is>
          <t>2 — Sessions</t>
        </is>
      </c>
      <c r="C59" t="n">
        <v>19</v>
      </c>
      <c r="D59" t="inlineStr">
        <is>
          <t>Add Session — Asset Class &amp; Symbols</t>
        </is>
      </c>
      <c r="E59" t="inlineStr">
        <is>
          <t>Edge</t>
        </is>
      </c>
      <c r="F59" t="inlineStr">
        <is>
          <t>P0</t>
        </is>
      </c>
      <c r="G59" t="inlineStr">
        <is>
          <t>Try 6th ticker on standard plan.</t>
        </is>
      </c>
      <c r="H59" t="inlineStr">
        <is>
          <t>6th</t>
        </is>
      </c>
      <c r="I59" t="inlineStr">
        <is>
          <t>Blocked or dimmed at cap.</t>
        </is>
      </c>
      <c r="J59" t="inlineStr">
        <is>
          <t>— Not tested</t>
        </is>
      </c>
      <c r="K59" t="inlineStr">
        <is>
          <t>— Not tested</t>
        </is>
      </c>
      <c r="L59" t="inlineStr">
        <is>
          <t>— Not tested</t>
        </is>
      </c>
    </row>
    <row r="60">
      <c r="A60" t="n">
        <v>198</v>
      </c>
      <c r="B60" t="inlineStr">
        <is>
          <t>2 — Sessions</t>
        </is>
      </c>
      <c r="C60" t="n">
        <v>19</v>
      </c>
      <c r="D60" t="inlineStr">
        <is>
          <t>Add Session — Asset Class &amp; Symbols</t>
        </is>
      </c>
      <c r="E60" t="inlineStr">
        <is>
          <t>Edge</t>
        </is>
      </c>
      <c r="F60" t="inlineStr">
        <is>
          <t>P1</t>
        </is>
      </c>
      <c r="G60" t="inlineStr">
        <is>
          <t>Remove ticker chip.</t>
        </is>
      </c>
      <c r="H60" t="inlineStr">
        <is>
          <t>× on chip</t>
        </is>
      </c>
      <c r="I60" t="inlineStr">
        <is>
          <t>Ticker removed.</t>
        </is>
      </c>
      <c r="J60" t="inlineStr">
        <is>
          <t>— Not tested</t>
        </is>
      </c>
      <c r="K60" t="inlineStr">
        <is>
          <t>— Not tested</t>
        </is>
      </c>
      <c r="L60" t="inlineStr">
        <is>
          <t>— Not tested</t>
        </is>
      </c>
    </row>
    <row r="61">
      <c r="A61" t="n">
        <v>199</v>
      </c>
      <c r="B61" t="inlineStr">
        <is>
          <t>2 — Sessions</t>
        </is>
      </c>
      <c r="C61" t="n">
        <v>19</v>
      </c>
      <c r="D61" t="inlineStr">
        <is>
          <t>Add Session — Asset Class &amp; Symbols</t>
        </is>
      </c>
      <c r="E61" t="inlineStr">
        <is>
          <t>Edge</t>
        </is>
      </c>
      <c r="F61" t="inlineStr">
        <is>
          <t>P2</t>
        </is>
      </c>
      <c r="G61" t="inlineStr">
        <is>
          <t>Random ticker picker — set count 3 → apply.</t>
        </is>
      </c>
      <c r="H61" t="inlineStr">
        <is>
          <t>random 3</t>
        </is>
      </c>
      <c r="I61" t="inlineStr">
        <is>
          <t>3 random symbols added.</t>
        </is>
      </c>
      <c r="J61" t="inlineStr">
        <is>
          <t>— Not tested</t>
        </is>
      </c>
      <c r="K61" t="inlineStr">
        <is>
          <t>— Not tested</t>
        </is>
      </c>
      <c r="L61" t="inlineStr">
        <is>
          <t>— Not tested</t>
        </is>
      </c>
    </row>
    <row r="62">
      <c r="A62" t="n">
        <v>200</v>
      </c>
      <c r="B62" t="inlineStr">
        <is>
          <t>2 — Sessions</t>
        </is>
      </c>
      <c r="C62" t="n">
        <v>19</v>
      </c>
      <c r="D62" t="inlineStr">
        <is>
          <t>Add Session — Asset Class &amp; Symbols</t>
        </is>
      </c>
      <c r="E62" t="inlineStr">
        <is>
          <t>Edge</t>
        </is>
      </c>
      <c r="F62" t="inlineStr">
        <is>
          <t>P1</t>
        </is>
      </c>
      <c r="G62" t="inlineStr">
        <is>
          <t>Symbol search in picker.</t>
        </is>
      </c>
      <c r="H62" t="inlineStr">
        <is>
          <t>NQ</t>
        </is>
      </c>
      <c r="I62" t="inlineStr">
        <is>
          <t>Filters list.</t>
        </is>
      </c>
      <c r="J62" t="inlineStr">
        <is>
          <t>— Not tested</t>
        </is>
      </c>
      <c r="K62" t="inlineStr">
        <is>
          <t>— Not tested</t>
        </is>
      </c>
      <c r="L62" t="inlineStr">
        <is>
          <t>— Not tested</t>
        </is>
      </c>
    </row>
    <row r="63">
      <c r="A63" t="n">
        <v>201</v>
      </c>
      <c r="B63" t="inlineStr">
        <is>
          <t>2 — Sessions</t>
        </is>
      </c>
      <c r="C63" t="n">
        <v>19</v>
      </c>
      <c r="D63" t="inlineStr">
        <is>
          <t>Add Session — Asset Class &amp; Symbols</t>
        </is>
      </c>
      <c r="E63" t="inlineStr">
        <is>
          <t>Edge</t>
        </is>
      </c>
      <c r="F63" t="inlineStr">
        <is>
          <t>P2</t>
        </is>
      </c>
      <c r="G63" t="inlineStr">
        <is>
          <t>Enable supporting tickers; add 2.</t>
        </is>
      </c>
      <c r="H63" t="inlineStr">
        <is>
          <t>2 support</t>
        </is>
      </c>
      <c r="I63" t="inlineStr">
        <is>
          <t>Supporting section populated.</t>
        </is>
      </c>
      <c r="J63" t="inlineStr">
        <is>
          <t>— Not tested</t>
        </is>
      </c>
      <c r="K63" t="inlineStr">
        <is>
          <t>— Not tested</t>
        </is>
      </c>
      <c r="L63" t="inlineStr">
        <is>
          <t>— Not tested</t>
        </is>
      </c>
    </row>
    <row r="64">
      <c r="A64" t="n">
        <v>202</v>
      </c>
      <c r="B64" t="inlineStr">
        <is>
          <t>2 — Sessions</t>
        </is>
      </c>
      <c r="C64" t="n">
        <v>19</v>
      </c>
      <c r="D64" t="inlineStr">
        <is>
          <t>Add Session — Asset Class &amp; Symbols</t>
        </is>
      </c>
      <c r="E64" t="inlineStr">
        <is>
          <t>Edge</t>
        </is>
      </c>
      <c r="F64" t="inlineStr">
        <is>
          <t>P1</t>
        </is>
      </c>
      <c r="G64" t="inlineStr">
        <is>
          <t>Supporting tickers at max cap.</t>
        </is>
      </c>
      <c r="H64" t="inlineStr">
        <is>
          <t>max support</t>
        </is>
      </c>
      <c r="I64" t="inlineStr">
        <is>
          <t>Cannot exceed plan supporting limit.</t>
        </is>
      </c>
      <c r="J64" t="inlineStr">
        <is>
          <t>— Not tested</t>
        </is>
      </c>
      <c r="K64" t="inlineStr">
        <is>
          <t>— Not tested</t>
        </is>
      </c>
      <c r="L64" t="inlineStr">
        <is>
          <t>— Not tested</t>
        </is>
      </c>
    </row>
    <row r="65">
      <c r="A65" t="n">
        <v>203</v>
      </c>
      <c r="B65" t="inlineStr">
        <is>
          <t>2 — Sessions</t>
        </is>
      </c>
      <c r="C65" t="n">
        <v>20</v>
      </c>
      <c r="D65" t="inlineStr">
        <is>
          <t>Add Session — Timeframe &amp; Replay</t>
        </is>
      </c>
      <c r="E65" t="inlineStr">
        <is>
          <t>Configuration</t>
        </is>
      </c>
      <c r="F65" t="inlineStr">
        <is>
          <t>P1</t>
        </is>
      </c>
      <c r="G65" t="inlineStr">
        <is>
          <t>Set timeframe 1m.</t>
        </is>
      </c>
      <c r="H65" t="inlineStr">
        <is>
          <t>1m</t>
        </is>
      </c>
      <c r="I65" t="inlineStr">
        <is>
          <t>Saves with session.</t>
        </is>
      </c>
      <c r="J65" t="inlineStr">
        <is>
          <t>— Not tested</t>
        </is>
      </c>
      <c r="K65" t="inlineStr">
        <is>
          <t>— Not tested</t>
        </is>
      </c>
      <c r="L65" t="inlineStr">
        <is>
          <t>— Not tested</t>
        </is>
      </c>
    </row>
    <row r="66">
      <c r="A66" t="n">
        <v>204</v>
      </c>
      <c r="B66" t="inlineStr">
        <is>
          <t>2 — Sessions</t>
        </is>
      </c>
      <c r="C66" t="n">
        <v>20</v>
      </c>
      <c r="D66" t="inlineStr">
        <is>
          <t>Add Session — Timeframe &amp; Replay</t>
        </is>
      </c>
      <c r="E66" t="inlineStr">
        <is>
          <t>Configuration</t>
        </is>
      </c>
      <c r="F66" t="inlineStr">
        <is>
          <t>P1</t>
        </is>
      </c>
      <c r="G66" t="inlineStr">
        <is>
          <t>Set timeframe 5m.</t>
        </is>
      </c>
      <c r="H66" t="inlineStr">
        <is>
          <t>5m</t>
        </is>
      </c>
      <c r="I66" t="inlineStr">
        <is>
          <t>Saves with session.</t>
        </is>
      </c>
      <c r="J66" t="inlineStr">
        <is>
          <t>— Not tested</t>
        </is>
      </c>
      <c r="K66" t="inlineStr">
        <is>
          <t>— Not tested</t>
        </is>
      </c>
      <c r="L66" t="inlineStr">
        <is>
          <t>— Not tested</t>
        </is>
      </c>
    </row>
    <row r="67">
      <c r="A67" t="n">
        <v>205</v>
      </c>
      <c r="B67" t="inlineStr">
        <is>
          <t>2 — Sessions</t>
        </is>
      </c>
      <c r="C67" t="n">
        <v>20</v>
      </c>
      <c r="D67" t="inlineStr">
        <is>
          <t>Add Session — Timeframe &amp; Replay</t>
        </is>
      </c>
      <c r="E67" t="inlineStr">
        <is>
          <t>Configuration</t>
        </is>
      </c>
      <c r="F67" t="inlineStr">
        <is>
          <t>P1</t>
        </is>
      </c>
      <c r="G67" t="inlineStr">
        <is>
          <t>Set timeframe 15m.</t>
        </is>
      </c>
      <c r="H67" t="inlineStr">
        <is>
          <t>15m</t>
        </is>
      </c>
      <c r="I67" t="inlineStr">
        <is>
          <t>Saves with session.</t>
        </is>
      </c>
      <c r="J67" t="inlineStr">
        <is>
          <t>— Not tested</t>
        </is>
      </c>
      <c r="K67" t="inlineStr">
        <is>
          <t>— Not tested</t>
        </is>
      </c>
      <c r="L67" t="inlineStr">
        <is>
          <t>— Not tested</t>
        </is>
      </c>
    </row>
    <row r="68">
      <c r="A68" t="n">
        <v>206</v>
      </c>
      <c r="B68" t="inlineStr">
        <is>
          <t>2 — Sessions</t>
        </is>
      </c>
      <c r="C68" t="n">
        <v>20</v>
      </c>
      <c r="D68" t="inlineStr">
        <is>
          <t>Add Session — Timeframe &amp; Replay</t>
        </is>
      </c>
      <c r="E68" t="inlineStr">
        <is>
          <t>Configuration</t>
        </is>
      </c>
      <c r="F68" t="inlineStr">
        <is>
          <t>P1</t>
        </is>
      </c>
      <c r="G68" t="inlineStr">
        <is>
          <t>Set timeframe 30m.</t>
        </is>
      </c>
      <c r="H68" t="inlineStr">
        <is>
          <t>30m</t>
        </is>
      </c>
      <c r="I68" t="inlineStr">
        <is>
          <t>Saves with session.</t>
        </is>
      </c>
      <c r="J68" t="inlineStr">
        <is>
          <t>— Not tested</t>
        </is>
      </c>
      <c r="K68" t="inlineStr">
        <is>
          <t>— Not tested</t>
        </is>
      </c>
      <c r="L68" t="inlineStr">
        <is>
          <t>— Not tested</t>
        </is>
      </c>
    </row>
    <row r="69">
      <c r="A69" t="n">
        <v>207</v>
      </c>
      <c r="B69" t="inlineStr">
        <is>
          <t>2 — Sessions</t>
        </is>
      </c>
      <c r="C69" t="n">
        <v>20</v>
      </c>
      <c r="D69" t="inlineStr">
        <is>
          <t>Add Session — Timeframe &amp; Replay</t>
        </is>
      </c>
      <c r="E69" t="inlineStr">
        <is>
          <t>Configuration</t>
        </is>
      </c>
      <c r="F69" t="inlineStr">
        <is>
          <t>P1</t>
        </is>
      </c>
      <c r="G69" t="inlineStr">
        <is>
          <t>Set timeframe 1H.</t>
        </is>
      </c>
      <c r="H69" t="inlineStr">
        <is>
          <t>1H</t>
        </is>
      </c>
      <c r="I69" t="inlineStr">
        <is>
          <t>Saves with session.</t>
        </is>
      </c>
      <c r="J69" t="inlineStr">
        <is>
          <t>— Not tested</t>
        </is>
      </c>
      <c r="K69" t="inlineStr">
        <is>
          <t>— Not tested</t>
        </is>
      </c>
      <c r="L69" t="inlineStr">
        <is>
          <t>— Not tested</t>
        </is>
      </c>
    </row>
    <row r="70">
      <c r="A70" t="n">
        <v>208</v>
      </c>
      <c r="B70" t="inlineStr">
        <is>
          <t>2 — Sessions</t>
        </is>
      </c>
      <c r="C70" t="n">
        <v>20</v>
      </c>
      <c r="D70" t="inlineStr">
        <is>
          <t>Add Session — Timeframe &amp; Replay</t>
        </is>
      </c>
      <c r="E70" t="inlineStr">
        <is>
          <t>Configuration</t>
        </is>
      </c>
      <c r="F70" t="inlineStr">
        <is>
          <t>P1</t>
        </is>
      </c>
      <c r="G70" t="inlineStr">
        <is>
          <t>Set timeframe 4H.</t>
        </is>
      </c>
      <c r="H70" t="inlineStr">
        <is>
          <t>4H</t>
        </is>
      </c>
      <c r="I70" t="inlineStr">
        <is>
          <t>Saves with session.</t>
        </is>
      </c>
      <c r="J70" t="inlineStr">
        <is>
          <t>— Not tested</t>
        </is>
      </c>
      <c r="K70" t="inlineStr">
        <is>
          <t>— Not tested</t>
        </is>
      </c>
      <c r="L70" t="inlineStr">
        <is>
          <t>— Not tested</t>
        </is>
      </c>
    </row>
    <row r="71">
      <c r="A71" t="n">
        <v>209</v>
      </c>
      <c r="B71" t="inlineStr">
        <is>
          <t>2 — Sessions</t>
        </is>
      </c>
      <c r="C71" t="n">
        <v>20</v>
      </c>
      <c r="D71" t="inlineStr">
        <is>
          <t>Add Session — Timeframe &amp; Replay</t>
        </is>
      </c>
      <c r="E71" t="inlineStr">
        <is>
          <t>Configuration</t>
        </is>
      </c>
      <c r="F71" t="inlineStr">
        <is>
          <t>P1</t>
        </is>
      </c>
      <c r="G71" t="inlineStr">
        <is>
          <t>Set timeframe 1D.</t>
        </is>
      </c>
      <c r="H71" t="inlineStr">
        <is>
          <t>1D</t>
        </is>
      </c>
      <c r="I71" t="inlineStr">
        <is>
          <t>Saves with session.</t>
        </is>
      </c>
      <c r="J71" t="inlineStr">
        <is>
          <t>— Not tested</t>
        </is>
      </c>
      <c r="K71" t="inlineStr">
        <is>
          <t>— Not tested</t>
        </is>
      </c>
      <c r="L71" t="inlineStr">
        <is>
          <t>— Not tested</t>
        </is>
      </c>
    </row>
    <row r="72">
      <c r="A72" t="n">
        <v>210</v>
      </c>
      <c r="B72" t="inlineStr">
        <is>
          <t>2 — Sessions</t>
        </is>
      </c>
      <c r="C72" t="n">
        <v>20</v>
      </c>
      <c r="D72" t="inlineStr">
        <is>
          <t>Add Session — Timeframe &amp; Replay</t>
        </is>
      </c>
      <c r="E72" t="inlineStr">
        <is>
          <t>Configuration</t>
        </is>
      </c>
      <c r="F72" t="inlineStr">
        <is>
          <t>P1</t>
        </is>
      </c>
      <c r="G72" t="inlineStr">
        <is>
          <t>Set timeframe 1W.</t>
        </is>
      </c>
      <c r="H72" t="inlineStr">
        <is>
          <t>1W</t>
        </is>
      </c>
      <c r="I72" t="inlineStr">
        <is>
          <t>Saves with session.</t>
        </is>
      </c>
      <c r="J72" t="inlineStr">
        <is>
          <t>— Not tested</t>
        </is>
      </c>
      <c r="K72" t="inlineStr">
        <is>
          <t>— Not tested</t>
        </is>
      </c>
      <c r="L72" t="inlineStr">
        <is>
          <t>— Not tested</t>
        </is>
      </c>
    </row>
    <row r="73">
      <c r="A73" t="n">
        <v>211</v>
      </c>
      <c r="B73" t="inlineStr">
        <is>
          <t>2 — Sessions</t>
        </is>
      </c>
      <c r="C73" t="n">
        <v>20</v>
      </c>
      <c r="D73" t="inlineStr">
        <is>
          <t>Add Session — Timeframe &amp; Replay</t>
        </is>
      </c>
      <c r="E73" t="inlineStr">
        <is>
          <t>Configuration</t>
        </is>
      </c>
      <c r="F73" t="inlineStr">
        <is>
          <t>P1</t>
        </is>
      </c>
      <c r="G73" t="inlineStr">
        <is>
          <t>Set timeframe 1M.</t>
        </is>
      </c>
      <c r="H73" t="inlineStr">
        <is>
          <t>1M</t>
        </is>
      </c>
      <c r="I73" t="inlineStr">
        <is>
          <t>Saves with session.</t>
        </is>
      </c>
      <c r="J73" t="inlineStr">
        <is>
          <t>— Not tested</t>
        </is>
      </c>
      <c r="K73" t="inlineStr">
        <is>
          <t>— Not tested</t>
        </is>
      </c>
      <c r="L73" t="inlineStr">
        <is>
          <t>— Not tested</t>
        </is>
      </c>
    </row>
    <row r="74">
      <c r="A74" t="n">
        <v>212</v>
      </c>
      <c r="B74" t="inlineStr">
        <is>
          <t>2 — Sessions</t>
        </is>
      </c>
      <c r="C74" t="n">
        <v>20</v>
      </c>
      <c r="D74" t="inlineStr">
        <is>
          <t>Add Session — Timeframe &amp; Replay</t>
        </is>
      </c>
      <c r="E74" t="inlineStr">
        <is>
          <t>Configuration</t>
        </is>
      </c>
      <c r="F74" t="inlineStr">
        <is>
          <t>P1</t>
        </is>
      </c>
      <c r="G74" t="inlineStr">
        <is>
          <t>Replay mode: Candle.</t>
        </is>
      </c>
      <c r="H74" t="inlineStr">
        <is>
          <t>candle</t>
        </is>
      </c>
      <c r="I74" t="inlineStr">
        <is>
          <t>Saves.</t>
        </is>
      </c>
      <c r="J74" t="inlineStr">
        <is>
          <t>— Not tested</t>
        </is>
      </c>
      <c r="K74" t="inlineStr">
        <is>
          <t>— Not tested</t>
        </is>
      </c>
      <c r="L74" t="inlineStr">
        <is>
          <t>— Not tested</t>
        </is>
      </c>
    </row>
    <row r="75">
      <c r="A75" t="n">
        <v>213</v>
      </c>
      <c r="B75" t="inlineStr">
        <is>
          <t>2 — Sessions</t>
        </is>
      </c>
      <c r="C75" t="n">
        <v>20</v>
      </c>
      <c r="D75" t="inlineStr">
        <is>
          <t>Add Session — Timeframe &amp; Replay</t>
        </is>
      </c>
      <c r="E75" t="inlineStr">
        <is>
          <t>Configuration</t>
        </is>
      </c>
      <c r="F75" t="inlineStr">
        <is>
          <t>P1</t>
        </is>
      </c>
      <c r="G75" t="inlineStr">
        <is>
          <t>Replay mode: Tick.</t>
        </is>
      </c>
      <c r="H75" t="inlineStr">
        <is>
          <t>tick</t>
        </is>
      </c>
      <c r="I75" t="inlineStr">
        <is>
          <t>Saves.</t>
        </is>
      </c>
      <c r="J75" t="inlineStr">
        <is>
          <t>— Not tested</t>
        </is>
      </c>
      <c r="K75" t="inlineStr">
        <is>
          <t>— Not tested</t>
        </is>
      </c>
      <c r="L75" t="inlineStr">
        <is>
          <t>— Not tested</t>
        </is>
      </c>
    </row>
    <row r="76">
      <c r="A76" t="n">
        <v>214</v>
      </c>
      <c r="B76" t="inlineStr">
        <is>
          <t>2 — Sessions</t>
        </is>
      </c>
      <c r="C76" t="n">
        <v>20</v>
      </c>
      <c r="D76" t="inlineStr">
        <is>
          <t>Add Session — Timeframe &amp; Replay</t>
        </is>
      </c>
      <c r="E76" t="inlineStr">
        <is>
          <t>Configuration</t>
        </is>
      </c>
      <c r="F76" t="inlineStr">
        <is>
          <t>P2</t>
        </is>
      </c>
      <c r="G76" t="inlineStr">
        <is>
          <t>Replay speed minimum.</t>
        </is>
      </c>
      <c r="H76" t="inlineStr">
        <is>
          <t>1×</t>
        </is>
      </c>
      <c r="I76" t="inlineStr">
        <is>
          <t>Slider at low end.</t>
        </is>
      </c>
      <c r="J76" t="inlineStr">
        <is>
          <t>— Not tested</t>
        </is>
      </c>
      <c r="K76" t="inlineStr">
        <is>
          <t>— Not tested</t>
        </is>
      </c>
      <c r="L76" t="inlineStr">
        <is>
          <t>— Not tested</t>
        </is>
      </c>
    </row>
    <row r="77">
      <c r="A77" t="n">
        <v>215</v>
      </c>
      <c r="B77" t="inlineStr">
        <is>
          <t>2 — Sessions</t>
        </is>
      </c>
      <c r="C77" t="n">
        <v>20</v>
      </c>
      <c r="D77" t="inlineStr">
        <is>
          <t>Add Session — Timeframe &amp; Replay</t>
        </is>
      </c>
      <c r="E77" t="inlineStr">
        <is>
          <t>Configuration</t>
        </is>
      </c>
      <c r="F77" t="inlineStr">
        <is>
          <t>P2</t>
        </is>
      </c>
      <c r="G77" t="inlineStr">
        <is>
          <t>Replay speed maximum.</t>
        </is>
      </c>
      <c r="H77" t="inlineStr">
        <is>
          <t>60×+</t>
        </is>
      </c>
      <c r="I77" t="inlineStr">
        <is>
          <t>High speed accepted.</t>
        </is>
      </c>
      <c r="J77" t="inlineStr">
        <is>
          <t>— Not tested</t>
        </is>
      </c>
      <c r="K77" t="inlineStr">
        <is>
          <t>— Not tested</t>
        </is>
      </c>
      <c r="L77" t="inlineStr">
        <is>
          <t>— Not tested</t>
        </is>
      </c>
    </row>
    <row r="78">
      <c r="A78" t="n">
        <v>216</v>
      </c>
      <c r="B78" t="inlineStr">
        <is>
          <t>2 — Sessions</t>
        </is>
      </c>
      <c r="C78" t="n">
        <v>20</v>
      </c>
      <c r="D78" t="inlineStr">
        <is>
          <t>Add Session — Timeframe &amp; Replay</t>
        </is>
      </c>
      <c r="E78" t="inlineStr">
        <is>
          <t>Configuration</t>
        </is>
      </c>
      <c r="F78" t="inlineStr">
        <is>
          <t>P1</t>
        </is>
      </c>
      <c r="G78" t="inlineStr">
        <is>
          <t>Rollback ON.</t>
        </is>
      </c>
      <c r="H78" t="inlineStr">
        <is>
          <t>—</t>
        </is>
      </c>
      <c r="I78" t="inlineStr">
        <is>
          <t>Session allows rewind in chart.</t>
        </is>
      </c>
      <c r="J78" t="inlineStr">
        <is>
          <t>— Not tested</t>
        </is>
      </c>
      <c r="K78" t="inlineStr">
        <is>
          <t>— Not tested</t>
        </is>
      </c>
      <c r="L78" t="inlineStr">
        <is>
          <t>— Not tested</t>
        </is>
      </c>
    </row>
    <row r="79">
      <c r="A79" t="n">
        <v>217</v>
      </c>
      <c r="B79" t="inlineStr">
        <is>
          <t>2 — Sessions</t>
        </is>
      </c>
      <c r="C79" t="n">
        <v>20</v>
      </c>
      <c r="D79" t="inlineStr">
        <is>
          <t>Add Session — Timeframe &amp; Replay</t>
        </is>
      </c>
      <c r="E79" t="inlineStr">
        <is>
          <t>Configuration</t>
        </is>
      </c>
      <c r="F79" t="inlineStr">
        <is>
          <t>P1</t>
        </is>
      </c>
      <c r="G79" t="inlineStr">
        <is>
          <t>Rollback OFF.</t>
        </is>
      </c>
      <c r="H79" t="inlineStr">
        <is>
          <t>—</t>
        </is>
      </c>
      <c r="I79" t="inlineStr">
        <is>
          <t>Rewind blocked in chart.</t>
        </is>
      </c>
      <c r="J79" t="inlineStr">
        <is>
          <t>— Not tested</t>
        </is>
      </c>
      <c r="K79" t="inlineStr">
        <is>
          <t>— Not tested</t>
        </is>
      </c>
      <c r="L79" t="inlineStr">
        <is>
          <t>— Not tested</t>
        </is>
      </c>
    </row>
    <row r="80">
      <c r="A80" t="n">
        <v>218</v>
      </c>
      <c r="B80" t="inlineStr">
        <is>
          <t>2 — Sessions</t>
        </is>
      </c>
      <c r="C80" t="n">
        <v>20</v>
      </c>
      <c r="D80" t="inlineStr">
        <is>
          <t>Add Session — Timeframe &amp; Replay</t>
        </is>
      </c>
      <c r="E80" t="inlineStr">
        <is>
          <t>Configuration</t>
        </is>
      </c>
      <c r="F80" t="inlineStr">
        <is>
          <t>P2</t>
        </is>
      </c>
      <c r="G80" t="inlineStr">
        <is>
          <t>MFE/MAE tracking ON + 4 hours.</t>
        </is>
      </c>
      <c r="H80" t="inlineStr">
        <is>
          <t>4h</t>
        </is>
      </c>
      <c r="I80" t="inlineStr">
        <is>
          <t>Saves.</t>
        </is>
      </c>
      <c r="J80" t="inlineStr">
        <is>
          <t>— Not tested</t>
        </is>
      </c>
      <c r="K80" t="inlineStr">
        <is>
          <t>— Not tested</t>
        </is>
      </c>
      <c r="L80" t="inlineStr">
        <is>
          <t>— Not tested</t>
        </is>
      </c>
    </row>
    <row r="81">
      <c r="A81" t="n">
        <v>219</v>
      </c>
      <c r="B81" t="inlineStr">
        <is>
          <t>2 — Sessions</t>
        </is>
      </c>
      <c r="C81" t="n">
        <v>20</v>
      </c>
      <c r="D81" t="inlineStr">
        <is>
          <t>Add Session — Timeframe &amp; Replay</t>
        </is>
      </c>
      <c r="E81" t="inlineStr">
        <is>
          <t>Configuration</t>
        </is>
      </c>
      <c r="F81" t="inlineStr">
        <is>
          <t>P2</t>
        </is>
      </c>
      <c r="G81" t="inlineStr">
        <is>
          <t>MFE/MAE tracking OFF.</t>
        </is>
      </c>
      <c r="H81" t="inlineStr">
        <is>
          <t>—</t>
        </is>
      </c>
      <c r="I81" t="inlineStr">
        <is>
          <t>Fields disabled.</t>
        </is>
      </c>
      <c r="J81" t="inlineStr">
        <is>
          <t>— Not tested</t>
        </is>
      </c>
      <c r="K81" t="inlineStr">
        <is>
          <t>— Not tested</t>
        </is>
      </c>
      <c r="L81" t="inlineStr">
        <is>
          <t>— Not tested</t>
        </is>
      </c>
    </row>
    <row r="82">
      <c r="A82" t="n">
        <v>220</v>
      </c>
      <c r="B82" t="inlineStr">
        <is>
          <t>2 — Sessions</t>
        </is>
      </c>
      <c r="C82" t="n">
        <v>20</v>
      </c>
      <c r="D82" t="inlineStr">
        <is>
          <t>Add Session — Timeframe &amp; Replay</t>
        </is>
      </c>
      <c r="E82" t="inlineStr">
        <is>
          <t>Configuration</t>
        </is>
      </c>
      <c r="F82" t="inlineStr">
        <is>
          <t>P2</t>
        </is>
      </c>
      <c r="G82" t="inlineStr">
        <is>
          <t>Post-exit window: hours mode, 4 hours.</t>
        </is>
      </c>
      <c r="H82" t="inlineStr">
        <is>
          <t>4</t>
        </is>
      </c>
      <c r="I82" t="inlineStr">
        <is>
          <t>Saves.</t>
        </is>
      </c>
      <c r="J82" t="inlineStr">
        <is>
          <t>— Not tested</t>
        </is>
      </c>
      <c r="K82" t="inlineStr">
        <is>
          <t>— Not tested</t>
        </is>
      </c>
      <c r="L82" t="inlineStr">
        <is>
          <t>— Not tested</t>
        </is>
      </c>
    </row>
    <row r="83">
      <c r="A83" t="n">
        <v>221</v>
      </c>
      <c r="B83" t="inlineStr">
        <is>
          <t>2 — Sessions</t>
        </is>
      </c>
      <c r="C83" t="n">
        <v>20</v>
      </c>
      <c r="D83" t="inlineStr">
        <is>
          <t>Add Session — Timeframe &amp; Replay</t>
        </is>
      </c>
      <c r="E83" t="inlineStr">
        <is>
          <t>Configuration</t>
        </is>
      </c>
      <c r="F83" t="inlineStr">
        <is>
          <t>P2</t>
        </is>
      </c>
      <c r="G83" t="inlineStr">
        <is>
          <t>Post-exit window: candles mode, 50 candles.</t>
        </is>
      </c>
      <c r="H83" t="inlineStr">
        <is>
          <t>50</t>
        </is>
      </c>
      <c r="I83" t="inlineStr">
        <is>
          <t>Saves.</t>
        </is>
      </c>
      <c r="J83" t="inlineStr">
        <is>
          <t>— Not tested</t>
        </is>
      </c>
      <c r="K83" t="inlineStr">
        <is>
          <t>— Not tested</t>
        </is>
      </c>
      <c r="L83" t="inlineStr">
        <is>
          <t>— Not tested</t>
        </is>
      </c>
    </row>
    <row r="84">
      <c r="A84" t="n">
        <v>222</v>
      </c>
      <c r="B84" t="inlineStr">
        <is>
          <t>2 — Sessions</t>
        </is>
      </c>
      <c r="C84" t="n">
        <v>20</v>
      </c>
      <c r="D84" t="inlineStr">
        <is>
          <t>Add Session — Timeframe &amp; Replay</t>
        </is>
      </c>
      <c r="E84" t="inlineStr">
        <is>
          <t>Configuration</t>
        </is>
      </c>
      <c r="F84" t="inlineStr">
        <is>
          <t>P1</t>
        </is>
      </c>
      <c r="G84" t="inlineStr">
        <is>
          <t>Advanced order ON.</t>
        </is>
      </c>
      <c r="H84" t="inlineStr">
        <is>
          <t>—</t>
        </is>
      </c>
      <c r="I84" t="inlineStr">
        <is>
          <t>Chart order panel shows advanced.</t>
        </is>
      </c>
      <c r="J84" t="inlineStr">
        <is>
          <t>— Not tested</t>
        </is>
      </c>
      <c r="K84" t="inlineStr">
        <is>
          <t>— Not tested</t>
        </is>
      </c>
      <c r="L84" t="inlineStr">
        <is>
          <t>— Not tested</t>
        </is>
      </c>
    </row>
    <row r="85">
      <c r="A85" t="n">
        <v>223</v>
      </c>
      <c r="B85" t="inlineStr">
        <is>
          <t>2 — Sessions</t>
        </is>
      </c>
      <c r="C85" t="n">
        <v>20</v>
      </c>
      <c r="D85" t="inlineStr">
        <is>
          <t>Add Session — Timeframe &amp; Replay</t>
        </is>
      </c>
      <c r="E85" t="inlineStr">
        <is>
          <t>Configuration</t>
        </is>
      </c>
      <c r="F85" t="inlineStr">
        <is>
          <t>P1</t>
        </is>
      </c>
      <c r="G85" t="inlineStr">
        <is>
          <t>Advanced order OFF.</t>
        </is>
      </c>
      <c r="H85" t="inlineStr">
        <is>
          <t>—</t>
        </is>
      </c>
      <c r="I85" t="inlineStr">
        <is>
          <t>Basic orders only.</t>
        </is>
      </c>
      <c r="J85" t="inlineStr">
        <is>
          <t>— Not tested</t>
        </is>
      </c>
      <c r="K85" t="inlineStr">
        <is>
          <t>— Not tested</t>
        </is>
      </c>
      <c r="L85" t="inlineStr">
        <is>
          <t>— Not tested</t>
        </is>
      </c>
    </row>
    <row r="86">
      <c r="A86" t="n">
        <v>224</v>
      </c>
      <c r="B86" t="inlineStr">
        <is>
          <t>2 — Sessions</t>
        </is>
      </c>
      <c r="C86" t="n">
        <v>21</v>
      </c>
      <c r="D86" t="inlineStr">
        <is>
          <t>Add Session — Date Range</t>
        </is>
      </c>
      <c r="E86" t="inlineStr">
        <is>
          <t>Input matrix</t>
        </is>
      </c>
      <c r="F86" t="inlineStr">
        <is>
          <t>P0</t>
        </is>
      </c>
      <c r="G86" t="inlineStr">
        <is>
          <t>Valid range: 1 year.</t>
        </is>
      </c>
      <c r="H86" t="inlineStr">
        <is>
          <t>2023-01-01 to 2023-12-31</t>
        </is>
      </c>
      <c r="I86" t="inlineStr">
        <is>
          <t>Accepts; calendar highlights range.</t>
        </is>
      </c>
      <c r="J86" t="inlineStr">
        <is>
          <t>— Not tested</t>
        </is>
      </c>
      <c r="K86" t="inlineStr">
        <is>
          <t>— Not tested</t>
        </is>
      </c>
      <c r="L86" t="inlineStr">
        <is>
          <t>— Not tested</t>
        </is>
      </c>
    </row>
    <row r="87">
      <c r="A87" t="n">
        <v>225</v>
      </c>
      <c r="B87" t="inlineStr">
        <is>
          <t>2 — Sessions</t>
        </is>
      </c>
      <c r="C87" t="n">
        <v>21</v>
      </c>
      <c r="D87" t="inlineStr">
        <is>
          <t>Add Session — Date Range</t>
        </is>
      </c>
      <c r="E87" t="inlineStr">
        <is>
          <t>Input matrix</t>
        </is>
      </c>
      <c r="F87" t="inlineStr">
        <is>
          <t>P1</t>
        </is>
      </c>
      <c r="G87" t="inlineStr">
        <is>
          <t>Same start and end date.</t>
        </is>
      </c>
      <c r="H87" t="inlineStr">
        <is>
          <t>one day</t>
        </is>
      </c>
      <c r="I87" t="inlineStr">
        <is>
          <t>Single-day session allowed or blocked — note.</t>
        </is>
      </c>
      <c r="J87" t="inlineStr">
        <is>
          <t>— Not tested</t>
        </is>
      </c>
      <c r="K87" t="inlineStr">
        <is>
          <t>— Not tested</t>
        </is>
      </c>
      <c r="L87" t="inlineStr">
        <is>
          <t>— Not tested</t>
        </is>
      </c>
    </row>
    <row r="88">
      <c r="A88" t="n">
        <v>226</v>
      </c>
      <c r="B88" t="inlineStr">
        <is>
          <t>2 — Sessions</t>
        </is>
      </c>
      <c r="C88" t="n">
        <v>21</v>
      </c>
      <c r="D88" t="inlineStr">
        <is>
          <t>Add Session — Date Range</t>
        </is>
      </c>
      <c r="E88" t="inlineStr">
        <is>
          <t>Input matrix</t>
        </is>
      </c>
      <c r="F88" t="inlineStr">
        <is>
          <t>P0</t>
        </is>
      </c>
      <c r="G88" t="inlineStr">
        <is>
          <t>End before start.</t>
        </is>
      </c>
      <c r="H88" t="inlineStr">
        <is>
          <t>inverted</t>
        </is>
      </c>
      <c r="I88" t="inlineStr">
        <is>
          <t>Error or auto-swap.</t>
        </is>
      </c>
      <c r="J88" t="inlineStr">
        <is>
          <t>— Not tested</t>
        </is>
      </c>
      <c r="K88" t="inlineStr">
        <is>
          <t>— Not tested</t>
        </is>
      </c>
      <c r="L88" t="inlineStr">
        <is>
          <t>— Not tested</t>
        </is>
      </c>
    </row>
    <row r="89">
      <c r="A89" t="n">
        <v>227</v>
      </c>
      <c r="B89" t="inlineStr">
        <is>
          <t>2 — Sessions</t>
        </is>
      </c>
      <c r="C89" t="n">
        <v>21</v>
      </c>
      <c r="D89" t="inlineStr">
        <is>
          <t>Add Session — Date Range</t>
        </is>
      </c>
      <c r="E89" t="inlineStr">
        <is>
          <t>Input matrix</t>
        </is>
      </c>
      <c r="F89" t="inlineStr">
        <is>
          <t>P2</t>
        </is>
      </c>
      <c r="G89" t="inlineStr">
        <is>
          <t>Range 10+ years.</t>
        </is>
      </c>
      <c r="H89" t="inlineStr">
        <is>
          <t>long range</t>
        </is>
      </c>
      <c r="I89" t="inlineStr">
        <is>
          <t>Accepts or warns on data availability.</t>
        </is>
      </c>
      <c r="J89" t="inlineStr">
        <is>
          <t>— Not tested</t>
        </is>
      </c>
      <c r="K89" t="inlineStr">
        <is>
          <t>— Not tested</t>
        </is>
      </c>
      <c r="L89" t="inlineStr">
        <is>
          <t>— Not tested</t>
        </is>
      </c>
    </row>
    <row r="90">
      <c r="A90" t="n">
        <v>228</v>
      </c>
      <c r="B90" t="inlineStr">
        <is>
          <t>2 — Sessions</t>
        </is>
      </c>
      <c r="C90" t="n">
        <v>21</v>
      </c>
      <c r="D90" t="inlineStr">
        <is>
          <t>Add Session — Date Range</t>
        </is>
      </c>
      <c r="E90" t="inlineStr">
        <is>
          <t>Input matrix</t>
        </is>
      </c>
      <c r="F90" t="inlineStr">
        <is>
          <t>P2</t>
        </is>
      </c>
      <c r="G90" t="inlineStr">
        <is>
          <t>Start date in far past.</t>
        </is>
      </c>
      <c r="H90" t="inlineStr">
        <is>
          <t>1990</t>
        </is>
      </c>
      <c r="I90" t="inlineStr">
        <is>
          <t>Clamped to available data or error.</t>
        </is>
      </c>
      <c r="J90" t="inlineStr">
        <is>
          <t>— Not tested</t>
        </is>
      </c>
      <c r="K90" t="inlineStr">
        <is>
          <t>— Not tested</t>
        </is>
      </c>
      <c r="L90" t="inlineStr">
        <is>
          <t>— Not tested</t>
        </is>
      </c>
    </row>
    <row r="91">
      <c r="A91" t="n">
        <v>229</v>
      </c>
      <c r="B91" t="inlineStr">
        <is>
          <t>2 — Sessions</t>
        </is>
      </c>
      <c r="C91" t="n">
        <v>21</v>
      </c>
      <c r="D91" t="inlineStr">
        <is>
          <t>Add Session — Date Range</t>
        </is>
      </c>
      <c r="E91" t="inlineStr">
        <is>
          <t>Input matrix</t>
        </is>
      </c>
      <c r="F91" t="inlineStr">
        <is>
          <t>P1</t>
        </is>
      </c>
      <c r="G91" t="inlineStr">
        <is>
          <t>End date in future.</t>
        </is>
      </c>
      <c r="H91" t="inlineStr">
        <is>
          <t>future</t>
        </is>
      </c>
      <c r="I91" t="inlineStr">
        <is>
          <t>Blocked or clamped to today.</t>
        </is>
      </c>
      <c r="J91" t="inlineStr">
        <is>
          <t>— Not tested</t>
        </is>
      </c>
      <c r="K91" t="inlineStr">
        <is>
          <t>— Not tested</t>
        </is>
      </c>
      <c r="L91" t="inlineStr">
        <is>
          <t>— Not tested</t>
        </is>
      </c>
    </row>
    <row r="92">
      <c r="A92" t="n">
        <v>230</v>
      </c>
      <c r="B92" t="inlineStr">
        <is>
          <t>2 — Sessions</t>
        </is>
      </c>
      <c r="C92" t="n">
        <v>21</v>
      </c>
      <c r="D92" t="inlineStr">
        <is>
          <t>Add Session — Date Range</t>
        </is>
      </c>
      <c r="E92" t="inlineStr">
        <is>
          <t>Input matrix</t>
        </is>
      </c>
      <c r="F92" t="inlineStr">
        <is>
          <t>P1</t>
        </is>
      </c>
      <c r="G92" t="inlineStr">
        <is>
          <t>Manual type invalid date.</t>
        </is>
      </c>
      <c r="H92" t="inlineStr">
        <is>
          <t>2023-02-30</t>
        </is>
      </c>
      <c r="I92" t="inlineStr">
        <is>
          <t>Rejected.</t>
        </is>
      </c>
      <c r="J92" t="inlineStr">
        <is>
          <t>— Not tested</t>
        </is>
      </c>
      <c r="K92" t="inlineStr">
        <is>
          <t>— Not tested</t>
        </is>
      </c>
      <c r="L92" t="inlineStr">
        <is>
          <t>— Not tested</t>
        </is>
      </c>
    </row>
    <row r="93">
      <c r="A93" t="n">
        <v>231</v>
      </c>
      <c r="B93" t="inlineStr">
        <is>
          <t>2 — Sessions</t>
        </is>
      </c>
      <c r="C93" t="n">
        <v>21</v>
      </c>
      <c r="D93" t="inlineStr">
        <is>
          <t>Add Session — Date Range</t>
        </is>
      </c>
      <c r="E93" t="inlineStr">
        <is>
          <t>Input matrix</t>
        </is>
      </c>
      <c r="F93" t="inlineStr">
        <is>
          <t>P1</t>
        </is>
      </c>
      <c r="G93" t="inlineStr">
        <is>
          <t>Quick preset: YTD.</t>
        </is>
      </c>
      <c r="H93" t="inlineStr">
        <is>
          <t>preset</t>
        </is>
      </c>
      <c r="I93" t="inlineStr">
        <is>
          <t>Range auto-fills.</t>
        </is>
      </c>
      <c r="J93" t="inlineStr">
        <is>
          <t>— Not tested</t>
        </is>
      </c>
      <c r="K93" t="inlineStr">
        <is>
          <t>— Not tested</t>
        </is>
      </c>
      <c r="L93" t="inlineStr">
        <is>
          <t>— Not tested</t>
        </is>
      </c>
    </row>
    <row r="94">
      <c r="A94" t="n">
        <v>232</v>
      </c>
      <c r="B94" t="inlineStr">
        <is>
          <t>2 — Sessions</t>
        </is>
      </c>
      <c r="C94" t="n">
        <v>21</v>
      </c>
      <c r="D94" t="inlineStr">
        <is>
          <t>Add Session — Date Range</t>
        </is>
      </c>
      <c r="E94" t="inlineStr">
        <is>
          <t>Input matrix</t>
        </is>
      </c>
      <c r="F94" t="inlineStr">
        <is>
          <t>P1</t>
        </is>
      </c>
      <c r="G94" t="inlineStr">
        <is>
          <t>Quick preset: 1Y / 6M / 3M.</t>
        </is>
      </c>
      <c r="H94" t="inlineStr">
        <is>
          <t>each preset</t>
        </is>
      </c>
      <c r="I94" t="inlineStr">
        <is>
          <t>Each fills correct range.</t>
        </is>
      </c>
      <c r="J94" t="inlineStr">
        <is>
          <t>— Not tested</t>
        </is>
      </c>
      <c r="K94" t="inlineStr">
        <is>
          <t>— Not tested</t>
        </is>
      </c>
      <c r="L94" t="inlineStr">
        <is>
          <t>— Not tested</t>
        </is>
      </c>
    </row>
    <row r="95">
      <c r="A95" t="n">
        <v>233</v>
      </c>
      <c r="B95" t="inlineStr">
        <is>
          <t>2 — Sessions</t>
        </is>
      </c>
      <c r="C95" t="n">
        <v>21</v>
      </c>
      <c r="D95" t="inlineStr">
        <is>
          <t>Add Session — Date Range</t>
        </is>
      </c>
      <c r="E95" t="inlineStr">
        <is>
          <t>Input matrix</t>
        </is>
      </c>
      <c r="F95" t="inlineStr">
        <is>
          <t>P2</t>
        </is>
      </c>
      <c r="G95" t="inlineStr">
        <is>
          <t>N-bars mode: 500 bars.</t>
        </is>
      </c>
      <c r="H95" t="inlineStr">
        <is>
          <t>500</t>
        </is>
      </c>
      <c r="I95" t="inlineStr">
        <is>
          <t>Uses last N bars instead of calendar.</t>
        </is>
      </c>
      <c r="J95" t="inlineStr">
        <is>
          <t>— Not tested</t>
        </is>
      </c>
      <c r="K95" t="inlineStr">
        <is>
          <t>— Not tested</t>
        </is>
      </c>
      <c r="L95" t="inlineStr">
        <is>
          <t>— Not tested</t>
        </is>
      </c>
    </row>
    <row r="96">
      <c r="A96" t="n">
        <v>234</v>
      </c>
      <c r="B96" t="inlineStr">
        <is>
          <t>2 — Sessions</t>
        </is>
      </c>
      <c r="C96" t="n">
        <v>21</v>
      </c>
      <c r="D96" t="inlineStr">
        <is>
          <t>Add Session — Date Range</t>
        </is>
      </c>
      <c r="E96" t="inlineStr">
        <is>
          <t>Input matrix</t>
        </is>
      </c>
      <c r="F96" t="inlineStr">
        <is>
          <t>P2</t>
        </is>
      </c>
      <c r="G96" t="inlineStr">
        <is>
          <t>N-bars mode: 1 bar.</t>
        </is>
      </c>
      <c r="H96" t="inlineStr">
        <is>
          <t>1</t>
        </is>
      </c>
      <c r="I96" t="inlineStr">
        <is>
          <t>Extreme minimum.</t>
        </is>
      </c>
      <c r="J96" t="inlineStr">
        <is>
          <t>— Not tested</t>
        </is>
      </c>
      <c r="K96" t="inlineStr">
        <is>
          <t>— Not tested</t>
        </is>
      </c>
      <c r="L96" t="inlineStr">
        <is>
          <t>— Not tested</t>
        </is>
      </c>
    </row>
    <row r="97">
      <c r="A97" t="n">
        <v>235</v>
      </c>
      <c r="B97" t="inlineStr">
        <is>
          <t>2 — Sessions</t>
        </is>
      </c>
      <c r="C97" t="n">
        <v>21</v>
      </c>
      <c r="D97" t="inlineStr">
        <is>
          <t>Add Session — Date Range</t>
        </is>
      </c>
      <c r="E97" t="inlineStr">
        <is>
          <t>Input matrix</t>
        </is>
      </c>
      <c r="F97" t="inlineStr">
        <is>
          <t>P2</t>
        </is>
      </c>
      <c r="G97" t="inlineStr">
        <is>
          <t>N-bars mode: 50000 bars.</t>
        </is>
      </c>
      <c r="H97" t="inlineStr">
        <is>
          <t>50000</t>
        </is>
      </c>
      <c r="I97" t="inlineStr">
        <is>
          <t>Extreme maximum — note performance.</t>
        </is>
      </c>
      <c r="J97" t="inlineStr">
        <is>
          <t>— Not tested</t>
        </is>
      </c>
      <c r="K97" t="inlineStr">
        <is>
          <t>— Not tested</t>
        </is>
      </c>
      <c r="L97" t="inlineStr">
        <is>
          <t>— Not tested</t>
        </is>
      </c>
    </row>
    <row r="98">
      <c r="A98" t="n">
        <v>236</v>
      </c>
      <c r="B98" t="inlineStr">
        <is>
          <t>2 — Sessions</t>
        </is>
      </c>
      <c r="C98" t="n">
        <v>22</v>
      </c>
      <c r="D98" t="inlineStr">
        <is>
          <t>Add Session — Account &amp; Costs</t>
        </is>
      </c>
      <c r="E98" t="inlineStr">
        <is>
          <t>Input matrix</t>
        </is>
      </c>
      <c r="F98" t="inlineStr">
        <is>
          <t>P1</t>
        </is>
      </c>
      <c r="G98" t="inlineStr">
        <is>
          <t>Capital = 100 (minimum realistic).</t>
        </is>
      </c>
      <c r="H98" t="inlineStr">
        <is>
          <t>100</t>
        </is>
      </c>
      <c r="I98" t="inlineStr">
        <is>
          <t>Accepts.</t>
        </is>
      </c>
      <c r="J98" t="inlineStr">
        <is>
          <t>— Not tested</t>
        </is>
      </c>
      <c r="K98" t="inlineStr">
        <is>
          <t>— Not tested</t>
        </is>
      </c>
      <c r="L98" t="inlineStr">
        <is>
          <t>— Not tested</t>
        </is>
      </c>
    </row>
    <row r="99">
      <c r="A99" t="n">
        <v>237</v>
      </c>
      <c r="B99" t="inlineStr">
        <is>
          <t>2 — Sessions</t>
        </is>
      </c>
      <c r="C99" t="n">
        <v>22</v>
      </c>
      <c r="D99" t="inlineStr">
        <is>
          <t>Add Session — Account &amp; Costs</t>
        </is>
      </c>
      <c r="E99" t="inlineStr">
        <is>
          <t>Input matrix</t>
        </is>
      </c>
      <c r="F99" t="inlineStr">
        <is>
          <t>P0</t>
        </is>
      </c>
      <c r="G99" t="inlineStr">
        <is>
          <t>Capital = 10000 (default).</t>
        </is>
      </c>
      <c r="H99" t="inlineStr">
        <is>
          <t>10000</t>
        </is>
      </c>
      <c r="I99" t="inlineStr">
        <is>
          <t>Accepts.</t>
        </is>
      </c>
      <c r="J99" t="inlineStr">
        <is>
          <t>— Not tested</t>
        </is>
      </c>
      <c r="K99" t="inlineStr">
        <is>
          <t>— Not tested</t>
        </is>
      </c>
      <c r="L99" t="inlineStr">
        <is>
          <t>— Not tested</t>
        </is>
      </c>
    </row>
    <row r="100">
      <c r="A100" t="n">
        <v>238</v>
      </c>
      <c r="B100" t="inlineStr">
        <is>
          <t>2 — Sessions</t>
        </is>
      </c>
      <c r="C100" t="n">
        <v>22</v>
      </c>
      <c r="D100" t="inlineStr">
        <is>
          <t>Add Session — Account &amp; Costs</t>
        </is>
      </c>
      <c r="E100" t="inlineStr">
        <is>
          <t>Input matrix</t>
        </is>
      </c>
      <c r="F100" t="inlineStr">
        <is>
          <t>P2</t>
        </is>
      </c>
      <c r="G100" t="inlineStr">
        <is>
          <t>Capital = 1000000.</t>
        </is>
      </c>
      <c r="H100" t="inlineStr">
        <is>
          <t>1000000</t>
        </is>
      </c>
      <c r="I100" t="inlineStr">
        <is>
          <t>Accepts; margin calc scales.</t>
        </is>
      </c>
      <c r="J100" t="inlineStr">
        <is>
          <t>— Not tested</t>
        </is>
      </c>
      <c r="K100" t="inlineStr">
        <is>
          <t>— Not tested</t>
        </is>
      </c>
      <c r="L100" t="inlineStr">
        <is>
          <t>— Not tested</t>
        </is>
      </c>
    </row>
    <row r="101">
      <c r="A101" t="n">
        <v>239</v>
      </c>
      <c r="B101" t="inlineStr">
        <is>
          <t>2 — Sessions</t>
        </is>
      </c>
      <c r="C101" t="n">
        <v>22</v>
      </c>
      <c r="D101" t="inlineStr">
        <is>
          <t>Add Session — Account &amp; Costs</t>
        </is>
      </c>
      <c r="E101" t="inlineStr">
        <is>
          <t>Input matrix</t>
        </is>
      </c>
      <c r="F101" t="inlineStr">
        <is>
          <t>P0</t>
        </is>
      </c>
      <c r="G101" t="inlineStr">
        <is>
          <t>Capital = 0.</t>
        </is>
      </c>
      <c r="H101" t="inlineStr">
        <is>
          <t>0</t>
        </is>
      </c>
      <c r="I101" t="inlineStr">
        <is>
          <t>Blocked or warning.</t>
        </is>
      </c>
      <c r="J101" t="inlineStr">
        <is>
          <t>— Not tested</t>
        </is>
      </c>
      <c r="K101" t="inlineStr">
        <is>
          <t>— Not tested</t>
        </is>
      </c>
      <c r="L101" t="inlineStr">
        <is>
          <t>— Not tested</t>
        </is>
      </c>
    </row>
    <row r="102">
      <c r="A102" t="n">
        <v>240</v>
      </c>
      <c r="B102" t="inlineStr">
        <is>
          <t>2 — Sessions</t>
        </is>
      </c>
      <c r="C102" t="n">
        <v>22</v>
      </c>
      <c r="D102" t="inlineStr">
        <is>
          <t>Add Session — Account &amp; Costs</t>
        </is>
      </c>
      <c r="E102" t="inlineStr">
        <is>
          <t>Input matrix</t>
        </is>
      </c>
      <c r="F102" t="inlineStr">
        <is>
          <t>P0</t>
        </is>
      </c>
      <c r="G102" t="inlineStr">
        <is>
          <t>Capital = negative.</t>
        </is>
      </c>
      <c r="H102" t="inlineStr">
        <is>
          <t>-1000</t>
        </is>
      </c>
      <c r="I102" t="inlineStr">
        <is>
          <t>Blocked.</t>
        </is>
      </c>
      <c r="J102" t="inlineStr">
        <is>
          <t>— Not tested</t>
        </is>
      </c>
      <c r="K102" t="inlineStr">
        <is>
          <t>— Not tested</t>
        </is>
      </c>
      <c r="L102" t="inlineStr">
        <is>
          <t>— Not tested</t>
        </is>
      </c>
    </row>
    <row r="103">
      <c r="A103" t="n">
        <v>241</v>
      </c>
      <c r="B103" t="inlineStr">
        <is>
          <t>2 — Sessions</t>
        </is>
      </c>
      <c r="C103" t="n">
        <v>22</v>
      </c>
      <c r="D103" t="inlineStr">
        <is>
          <t>Add Session — Account &amp; Costs</t>
        </is>
      </c>
      <c r="E103" t="inlineStr">
        <is>
          <t>Input matrix</t>
        </is>
      </c>
      <c r="F103" t="inlineStr">
        <is>
          <t>P1</t>
        </is>
      </c>
      <c r="G103" t="inlineStr">
        <is>
          <t>Capital = text abc.</t>
        </is>
      </c>
      <c r="H103" t="inlineStr">
        <is>
          <t>abc</t>
        </is>
      </c>
      <c r="I103" t="inlineStr">
        <is>
          <t>Rejected or ignored.</t>
        </is>
      </c>
      <c r="J103" t="inlineStr">
        <is>
          <t>— Not tested</t>
        </is>
      </c>
      <c r="K103" t="inlineStr">
        <is>
          <t>— Not tested</t>
        </is>
      </c>
      <c r="L103" t="inlineStr">
        <is>
          <t>— Not tested</t>
        </is>
      </c>
    </row>
    <row r="104">
      <c r="A104" t="n">
        <v>242</v>
      </c>
      <c r="B104" t="inlineStr">
        <is>
          <t>2 — Sessions</t>
        </is>
      </c>
      <c r="C104" t="n">
        <v>22</v>
      </c>
      <c r="D104" t="inlineStr">
        <is>
          <t>Add Session — Account &amp; Costs</t>
        </is>
      </c>
      <c r="E104" t="inlineStr">
        <is>
          <t>Input matrix</t>
        </is>
      </c>
      <c r="F104" t="inlineStr">
        <is>
          <t>P1</t>
        </is>
      </c>
      <c r="G104" t="inlineStr">
        <is>
          <t>Currency USD.</t>
        </is>
      </c>
      <c r="H104" t="inlineStr">
        <is>
          <t>USD</t>
        </is>
      </c>
      <c r="I104" t="inlineStr">
        <is>
          <t>Flag/icon USD.</t>
        </is>
      </c>
      <c r="J104" t="inlineStr">
        <is>
          <t>— Not tested</t>
        </is>
      </c>
      <c r="K104" t="inlineStr">
        <is>
          <t>— Not tested</t>
        </is>
      </c>
      <c r="L104" t="inlineStr">
        <is>
          <t>— Not tested</t>
        </is>
      </c>
    </row>
    <row r="105">
      <c r="A105" t="n">
        <v>243</v>
      </c>
      <c r="B105" t="inlineStr">
        <is>
          <t>2 — Sessions</t>
        </is>
      </c>
      <c r="C105" t="n">
        <v>22</v>
      </c>
      <c r="D105" t="inlineStr">
        <is>
          <t>Add Session — Account &amp; Costs</t>
        </is>
      </c>
      <c r="E105" t="inlineStr">
        <is>
          <t>Input matrix</t>
        </is>
      </c>
      <c r="F105" t="inlineStr">
        <is>
          <t>P2</t>
        </is>
      </c>
      <c r="G105" t="inlineStr">
        <is>
          <t>Currency EUR.</t>
        </is>
      </c>
      <c r="H105" t="inlineStr">
        <is>
          <t>EUR</t>
        </is>
      </c>
      <c r="I105" t="inlineStr">
        <is>
          <t>Changes currency symbol.</t>
        </is>
      </c>
      <c r="J105" t="inlineStr">
        <is>
          <t>— Not tested</t>
        </is>
      </c>
      <c r="K105" t="inlineStr">
        <is>
          <t>— Not tested</t>
        </is>
      </c>
      <c r="L105" t="inlineStr">
        <is>
          <t>— Not tested</t>
        </is>
      </c>
    </row>
    <row r="106">
      <c r="A106" t="n">
        <v>244</v>
      </c>
      <c r="B106" t="inlineStr">
        <is>
          <t>2 — Sessions</t>
        </is>
      </c>
      <c r="C106" t="n">
        <v>22</v>
      </c>
      <c r="D106" t="inlineStr">
        <is>
          <t>Add Session — Account &amp; Costs</t>
        </is>
      </c>
      <c r="E106" t="inlineStr">
        <is>
          <t>Input matrix</t>
        </is>
      </c>
      <c r="F106" t="inlineStr">
        <is>
          <t>P1</t>
        </is>
      </c>
      <c r="G106" t="inlineStr">
        <is>
          <t>Risk mode % ; value 1%.</t>
        </is>
      </c>
      <c r="H106" t="inlineStr">
        <is>
          <t>1%</t>
        </is>
      </c>
      <c r="I106" t="inlineStr">
        <is>
          <t>Risk per trade 1% of balance.</t>
        </is>
      </c>
      <c r="J106" t="inlineStr">
        <is>
          <t>— Not tested</t>
        </is>
      </c>
      <c r="K106" t="inlineStr">
        <is>
          <t>— Not tested</t>
        </is>
      </c>
      <c r="L106" t="inlineStr">
        <is>
          <t>— Not tested</t>
        </is>
      </c>
    </row>
    <row r="107">
      <c r="A107" t="n">
        <v>245</v>
      </c>
      <c r="B107" t="inlineStr">
        <is>
          <t>2 — Sessions</t>
        </is>
      </c>
      <c r="C107" t="n">
        <v>22</v>
      </c>
      <c r="D107" t="inlineStr">
        <is>
          <t>Add Session — Account &amp; Costs</t>
        </is>
      </c>
      <c r="E107" t="inlineStr">
        <is>
          <t>Input matrix</t>
        </is>
      </c>
      <c r="F107" t="inlineStr">
        <is>
          <t>P2</t>
        </is>
      </c>
      <c r="G107" t="inlineStr">
        <is>
          <t>Risk mode % ; value 100%.</t>
        </is>
      </c>
      <c r="H107" t="inlineStr">
        <is>
          <t>100%</t>
        </is>
      </c>
      <c r="I107" t="inlineStr">
        <is>
          <t>Extreme risk — accepts or caps.</t>
        </is>
      </c>
      <c r="J107" t="inlineStr">
        <is>
          <t>— Not tested</t>
        </is>
      </c>
      <c r="K107" t="inlineStr">
        <is>
          <t>— Not tested</t>
        </is>
      </c>
      <c r="L107" t="inlineStr">
        <is>
          <t>— Not tested</t>
        </is>
      </c>
    </row>
    <row r="108">
      <c r="A108" t="n">
        <v>246</v>
      </c>
      <c r="B108" t="inlineStr">
        <is>
          <t>2 — Sessions</t>
        </is>
      </c>
      <c r="C108" t="n">
        <v>22</v>
      </c>
      <c r="D108" t="inlineStr">
        <is>
          <t>Add Session — Account &amp; Costs</t>
        </is>
      </c>
      <c r="E108" t="inlineStr">
        <is>
          <t>Input matrix</t>
        </is>
      </c>
      <c r="F108" t="inlineStr">
        <is>
          <t>P1</t>
        </is>
      </c>
      <c r="G108" t="inlineStr">
        <is>
          <t>Risk mode fixed $ ; value 500.</t>
        </is>
      </c>
      <c r="H108" t="inlineStr">
        <is>
          <t>$500</t>
        </is>
      </c>
      <c r="I108" t="inlineStr">
        <is>
          <t>Fixed dollar risk.</t>
        </is>
      </c>
      <c r="J108" t="inlineStr">
        <is>
          <t>— Not tested</t>
        </is>
      </c>
      <c r="K108" t="inlineStr">
        <is>
          <t>— Not tested</t>
        </is>
      </c>
      <c r="L108" t="inlineStr">
        <is>
          <t>— Not tested</t>
        </is>
      </c>
    </row>
    <row r="109">
      <c r="A109" t="n">
        <v>247</v>
      </c>
      <c r="B109" t="inlineStr">
        <is>
          <t>2 — Sessions</t>
        </is>
      </c>
      <c r="C109" t="n">
        <v>22</v>
      </c>
      <c r="D109" t="inlineStr">
        <is>
          <t>Add Session — Account &amp; Costs</t>
        </is>
      </c>
      <c r="E109" t="inlineStr">
        <is>
          <t>Input matrix</t>
        </is>
      </c>
      <c r="F109" t="inlineStr">
        <is>
          <t>P1</t>
        </is>
      </c>
      <c r="G109" t="inlineStr">
        <is>
          <t>Leverage 1:1.</t>
        </is>
      </c>
      <c r="H109" t="inlineStr">
        <is>
          <t>1:1</t>
        </is>
      </c>
      <c r="I109" t="inlineStr">
        <is>
          <t>No leverage.</t>
        </is>
      </c>
      <c r="J109" t="inlineStr">
        <is>
          <t>— Not tested</t>
        </is>
      </c>
      <c r="K109" t="inlineStr">
        <is>
          <t>— Not tested</t>
        </is>
      </c>
      <c r="L109" t="inlineStr">
        <is>
          <t>— Not tested</t>
        </is>
      </c>
    </row>
    <row r="110">
      <c r="A110" t="n">
        <v>248</v>
      </c>
      <c r="B110" t="inlineStr">
        <is>
          <t>2 — Sessions</t>
        </is>
      </c>
      <c r="C110" t="n">
        <v>22</v>
      </c>
      <c r="D110" t="inlineStr">
        <is>
          <t>Add Session — Account &amp; Costs</t>
        </is>
      </c>
      <c r="E110" t="inlineStr">
        <is>
          <t>Input matrix</t>
        </is>
      </c>
      <c r="F110" t="inlineStr">
        <is>
          <t>P2</t>
        </is>
      </c>
      <c r="G110" t="inlineStr">
        <is>
          <t>Leverage 1:500.</t>
        </is>
      </c>
      <c r="H110" t="inlineStr">
        <is>
          <t>1:500</t>
        </is>
      </c>
      <c r="I110" t="inlineStr">
        <is>
          <t>Max leverage.</t>
        </is>
      </c>
      <c r="J110" t="inlineStr">
        <is>
          <t>— Not tested</t>
        </is>
      </c>
      <c r="K110" t="inlineStr">
        <is>
          <t>— Not tested</t>
        </is>
      </c>
      <c r="L110" t="inlineStr">
        <is>
          <t>— Not tested</t>
        </is>
      </c>
    </row>
    <row r="111">
      <c r="A111" t="n">
        <v>249</v>
      </c>
      <c r="B111" t="inlineStr">
        <is>
          <t>2 — Sessions</t>
        </is>
      </c>
      <c r="C111" t="n">
        <v>22</v>
      </c>
      <c r="D111" t="inlineStr">
        <is>
          <t>Add Session — Account &amp; Costs</t>
        </is>
      </c>
      <c r="E111" t="inlineStr">
        <is>
          <t>Input matrix</t>
        </is>
      </c>
      <c r="F111" t="inlineStr">
        <is>
          <t>P1</t>
        </is>
      </c>
      <c r="G111" t="inlineStr">
        <is>
          <t>Commission none.</t>
        </is>
      </c>
      <c r="H111" t="inlineStr">
        <is>
          <t>none</t>
        </is>
      </c>
      <c r="I111" t="inlineStr">
        <is>
          <t>Zero commission.</t>
        </is>
      </c>
      <c r="J111" t="inlineStr">
        <is>
          <t>— Not tested</t>
        </is>
      </c>
      <c r="K111" t="inlineStr">
        <is>
          <t>— Not tested</t>
        </is>
      </c>
      <c r="L111" t="inlineStr">
        <is>
          <t>— Not tested</t>
        </is>
      </c>
    </row>
    <row r="112">
      <c r="A112" t="n">
        <v>250</v>
      </c>
      <c r="B112" t="inlineStr">
        <is>
          <t>2 — Sessions</t>
        </is>
      </c>
      <c r="C112" t="n">
        <v>22</v>
      </c>
      <c r="D112" t="inlineStr">
        <is>
          <t>Add Session — Account &amp; Costs</t>
        </is>
      </c>
      <c r="E112" t="inlineStr">
        <is>
          <t>Input matrix</t>
        </is>
      </c>
      <c r="F112" t="inlineStr">
        <is>
          <t>P1</t>
        </is>
      </c>
      <c r="G112" t="inlineStr">
        <is>
          <t>Commission per lot $3.50.</t>
        </is>
      </c>
      <c r="H112" t="inlineStr">
        <is>
          <t>3.50</t>
        </is>
      </c>
      <c r="I112" t="inlineStr">
        <is>
          <t>Applied on trades.</t>
        </is>
      </c>
      <c r="J112" t="inlineStr">
        <is>
          <t>— Not tested</t>
        </is>
      </c>
      <c r="K112" t="inlineStr">
        <is>
          <t>— Not tested</t>
        </is>
      </c>
      <c r="L112" t="inlineStr">
        <is>
          <t>— Not tested</t>
        </is>
      </c>
    </row>
    <row r="113">
      <c r="A113" t="n">
        <v>251</v>
      </c>
      <c r="B113" t="inlineStr">
        <is>
          <t>2 — Sessions</t>
        </is>
      </c>
      <c r="C113" t="n">
        <v>22</v>
      </c>
      <c r="D113" t="inlineStr">
        <is>
          <t>Add Session — Account &amp; Costs</t>
        </is>
      </c>
      <c r="E113" t="inlineStr">
        <is>
          <t>Input matrix</t>
        </is>
      </c>
      <c r="F113" t="inlineStr">
        <is>
          <t>P2</t>
        </is>
      </c>
      <c r="G113" t="inlineStr">
        <is>
          <t>Slippage 0.</t>
        </is>
      </c>
      <c r="H113" t="inlineStr">
        <is>
          <t>0</t>
        </is>
      </c>
      <c r="I113" t="inlineStr">
        <is>
          <t>No slippage.</t>
        </is>
      </c>
      <c r="J113" t="inlineStr">
        <is>
          <t>— Not tested</t>
        </is>
      </c>
      <c r="K113" t="inlineStr">
        <is>
          <t>— Not tested</t>
        </is>
      </c>
      <c r="L113" t="inlineStr">
        <is>
          <t>— Not tested</t>
        </is>
      </c>
    </row>
    <row r="114">
      <c r="A114" t="n">
        <v>252</v>
      </c>
      <c r="B114" t="inlineStr">
        <is>
          <t>2 — Sessions</t>
        </is>
      </c>
      <c r="C114" t="n">
        <v>22</v>
      </c>
      <c r="D114" t="inlineStr">
        <is>
          <t>Add Session — Account &amp; Costs</t>
        </is>
      </c>
      <c r="E114" t="inlineStr">
        <is>
          <t>Input matrix</t>
        </is>
      </c>
      <c r="F114" t="inlineStr">
        <is>
          <t>P2</t>
        </is>
      </c>
      <c r="G114" t="inlineStr">
        <is>
          <t>Slippage 10 ticks.</t>
        </is>
      </c>
      <c r="H114" t="inlineStr">
        <is>
          <t>10</t>
        </is>
      </c>
      <c r="I114" t="inlineStr">
        <is>
          <t>Wide slippage.</t>
        </is>
      </c>
      <c r="J114" t="inlineStr">
        <is>
          <t>— Not tested</t>
        </is>
      </c>
      <c r="K114" t="inlineStr">
        <is>
          <t>— Not tested</t>
        </is>
      </c>
      <c r="L114" t="inlineStr">
        <is>
          <t>— Not tested</t>
        </is>
      </c>
    </row>
    <row r="115">
      <c r="A115" t="n">
        <v>253</v>
      </c>
      <c r="B115" t="inlineStr">
        <is>
          <t>2 — Sessions</t>
        </is>
      </c>
      <c r="C115" t="n">
        <v>22</v>
      </c>
      <c r="D115" t="inlineStr">
        <is>
          <t>Add Session — Account &amp; Costs</t>
        </is>
      </c>
      <c r="E115" t="inlineStr">
        <is>
          <t>Configuration</t>
        </is>
      </c>
      <c r="F115" t="inlineStr">
        <is>
          <t>P1</t>
        </is>
      </c>
      <c r="G115" t="inlineStr">
        <is>
          <t>Enable Trading Costs overrides.</t>
        </is>
      </c>
      <c r="H115" t="inlineStr">
        <is>
          <t>—</t>
        </is>
      </c>
      <c r="I115" t="inlineStr">
        <is>
          <t>Per-asset-class commission/leverage fields appear.</t>
        </is>
      </c>
      <c r="J115" t="inlineStr">
        <is>
          <t>— Not tested</t>
        </is>
      </c>
      <c r="K115" t="inlineStr">
        <is>
          <t>— Not tested</t>
        </is>
      </c>
      <c r="L115" t="inlineStr">
        <is>
          <t>— Not tested</t>
        </is>
      </c>
    </row>
    <row r="116">
      <c r="A116" t="n">
        <v>254</v>
      </c>
      <c r="B116" t="inlineStr">
        <is>
          <t>2 — Sessions</t>
        </is>
      </c>
      <c r="C116" t="n">
        <v>22</v>
      </c>
      <c r="D116" t="inlineStr">
        <is>
          <t>Add Session — Account &amp; Costs</t>
        </is>
      </c>
      <c r="E116" t="inlineStr">
        <is>
          <t>Configuration</t>
        </is>
      </c>
      <c r="F116" t="inlineStr">
        <is>
          <t>P2</t>
        </is>
      </c>
      <c r="G116" t="inlineStr">
        <is>
          <t>Set Forex costs commission 7.00 leverage 1:500.</t>
        </is>
      </c>
      <c r="H116" t="inlineStr">
        <is>
          <t>—</t>
        </is>
      </c>
      <c r="I116" t="inlineStr">
        <is>
          <t>Overrides default.</t>
        </is>
      </c>
      <c r="J116" t="inlineStr">
        <is>
          <t>— Not tested</t>
        </is>
      </c>
      <c r="K116" t="inlineStr">
        <is>
          <t>— Not tested</t>
        </is>
      </c>
      <c r="L116" t="inlineStr">
        <is>
          <t>— Not tested</t>
        </is>
      </c>
    </row>
    <row r="117">
      <c r="A117" t="n">
        <v>255</v>
      </c>
      <c r="B117" t="inlineStr">
        <is>
          <t>2 — Sessions</t>
        </is>
      </c>
      <c r="C117" t="n">
        <v>22</v>
      </c>
      <c r="D117" t="inlineStr">
        <is>
          <t>Add Session — Account &amp; Costs</t>
        </is>
      </c>
      <c r="E117" t="inlineStr">
        <is>
          <t>Configuration</t>
        </is>
      </c>
      <c r="F117" t="inlineStr">
        <is>
          <t>P2</t>
        </is>
      </c>
      <c r="G117" t="inlineStr">
        <is>
          <t>Set per-symbol spread for EURUSD.</t>
        </is>
      </c>
      <c r="H117" t="inlineStr">
        <is>
          <t>1.5 pips</t>
        </is>
      </c>
      <c r="I117" t="inlineStr">
        <is>
          <t>Spread applied in session.</t>
        </is>
      </c>
      <c r="J117" t="inlineStr">
        <is>
          <t>— Not tested</t>
        </is>
      </c>
      <c r="K117" t="inlineStr">
        <is>
          <t>— Not tested</t>
        </is>
      </c>
      <c r="L117" t="inlineStr">
        <is>
          <t>— Not tested</t>
        </is>
      </c>
    </row>
    <row r="118">
      <c r="A118" t="n">
        <v>256</v>
      </c>
      <c r="B118" t="inlineStr">
        <is>
          <t>2 — Sessions</t>
        </is>
      </c>
      <c r="C118" t="n">
        <v>22</v>
      </c>
      <c r="D118" t="inlineStr">
        <is>
          <t>Add Session — Account &amp; Costs</t>
        </is>
      </c>
      <c r="E118" t="inlineStr">
        <is>
          <t>Configuration</t>
        </is>
      </c>
      <c r="F118" t="inlineStr">
        <is>
          <t>P1</t>
        </is>
      </c>
      <c r="G118" t="inlineStr">
        <is>
          <t>Timezone America/New_York + DST on.</t>
        </is>
      </c>
      <c r="H118" t="inlineStr">
        <is>
          <t>—</t>
        </is>
      </c>
      <c r="I118" t="inlineStr">
        <is>
          <t>Chart times in NY.</t>
        </is>
      </c>
      <c r="J118" t="inlineStr">
        <is>
          <t>— Not tested</t>
        </is>
      </c>
      <c r="K118" t="inlineStr">
        <is>
          <t>— Not tested</t>
        </is>
      </c>
      <c r="L118" t="inlineStr">
        <is>
          <t>— Not tested</t>
        </is>
      </c>
    </row>
    <row r="119">
      <c r="A119" t="n">
        <v>257</v>
      </c>
      <c r="B119" t="inlineStr">
        <is>
          <t>2 — Sessions</t>
        </is>
      </c>
      <c r="C119" t="n">
        <v>22</v>
      </c>
      <c r="D119" t="inlineStr">
        <is>
          <t>Add Session — Account &amp; Costs</t>
        </is>
      </c>
      <c r="E119" t="inlineStr">
        <is>
          <t>Configuration</t>
        </is>
      </c>
      <c r="F119" t="inlineStr">
        <is>
          <t>P2</t>
        </is>
      </c>
      <c r="G119" t="inlineStr">
        <is>
          <t>Timezone UTC + DST off.</t>
        </is>
      </c>
      <c r="H119" t="inlineStr">
        <is>
          <t>—</t>
        </is>
      </c>
      <c r="I119" t="inlineStr">
        <is>
          <t>Times in UTC.</t>
        </is>
      </c>
      <c r="J119" t="inlineStr">
        <is>
          <t>— Not tested</t>
        </is>
      </c>
      <c r="K119" t="inlineStr">
        <is>
          <t>— Not tested</t>
        </is>
      </c>
      <c r="L119" t="inlineStr">
        <is>
          <t>— Not tested</t>
        </is>
      </c>
    </row>
    <row r="120">
      <c r="A120" t="n">
        <v>258</v>
      </c>
      <c r="B120" t="inlineStr">
        <is>
          <t>2 — Sessions</t>
        </is>
      </c>
      <c r="C120" t="n">
        <v>22</v>
      </c>
      <c r="D120" t="inlineStr">
        <is>
          <t>Add Session — Account &amp; Costs</t>
        </is>
      </c>
      <c r="E120" t="inlineStr">
        <is>
          <t>Configuration</t>
        </is>
      </c>
      <c r="F120" t="inlineStr">
        <is>
          <t>P2</t>
        </is>
      </c>
      <c r="G120" t="inlineStr">
        <is>
          <t>Margin call 100% / Stop out 50%.</t>
        </is>
      </c>
      <c r="H120" t="inlineStr">
        <is>
          <t>defaults</t>
        </is>
      </c>
      <c r="I120" t="inlineStr">
        <is>
          <t>Liquidation rules apply in chart.</t>
        </is>
      </c>
      <c r="J120" t="inlineStr">
        <is>
          <t>— Not tested</t>
        </is>
      </c>
      <c r="K120" t="inlineStr">
        <is>
          <t>— Not tested</t>
        </is>
      </c>
      <c r="L120" t="inlineStr">
        <is>
          <t>— Not tested</t>
        </is>
      </c>
    </row>
    <row r="121">
      <c r="A121" t="n">
        <v>259</v>
      </c>
      <c r="B121" t="inlineStr">
        <is>
          <t>2 — Sessions</t>
        </is>
      </c>
      <c r="C121" t="n">
        <v>22</v>
      </c>
      <c r="D121" t="inlineStr">
        <is>
          <t>Add Session — Account &amp; Costs</t>
        </is>
      </c>
      <c r="E121" t="inlineStr">
        <is>
          <t>Configuration</t>
        </is>
      </c>
      <c r="F121" t="inlineStr">
        <is>
          <t>P2</t>
        </is>
      </c>
      <c r="G121" t="inlineStr">
        <is>
          <t>Link data file from picker.</t>
        </is>
      </c>
      <c r="H121" t="inlineStr">
        <is>
          <t>CSV file</t>
        </is>
      </c>
      <c r="I121" t="inlineStr">
        <is>
          <t>File attached to session.</t>
        </is>
      </c>
      <c r="J121" t="inlineStr">
        <is>
          <t>— Not tested</t>
        </is>
      </c>
      <c r="K121" t="inlineStr">
        <is>
          <t>— Not tested</t>
        </is>
      </c>
      <c r="L121" t="inlineStr">
        <is>
          <t>— Not tested</t>
        </is>
      </c>
    </row>
    <row r="122">
      <c r="A122" t="n">
        <v>260</v>
      </c>
      <c r="B122" t="inlineStr">
        <is>
          <t>2 — Sessions</t>
        </is>
      </c>
      <c r="C122" t="n">
        <v>23</v>
      </c>
      <c r="D122" t="inlineStr">
        <is>
          <t>Add Session — Prop Firm Mode</t>
        </is>
      </c>
      <c r="E122" t="inlineStr">
        <is>
          <t>Configuration</t>
        </is>
      </c>
      <c r="F122" t="inlineStr">
        <is>
          <t>P0</t>
        </is>
      </c>
      <c r="G122" t="inlineStr">
        <is>
          <t>Switch to Prop Firm mode.</t>
        </is>
      </c>
      <c r="H122" t="inlineStr">
        <is>
          <t>—</t>
        </is>
      </c>
      <c r="I122" t="inlineStr">
        <is>
          <t>Prop section expands; Standard fields remain.</t>
        </is>
      </c>
      <c r="J122" t="inlineStr">
        <is>
          <t>— Not tested</t>
        </is>
      </c>
      <c r="K122" t="inlineStr">
        <is>
          <t>— Not tested</t>
        </is>
      </c>
      <c r="L122" t="inlineStr">
        <is>
          <t>— Not tested</t>
        </is>
      </c>
    </row>
    <row r="123">
      <c r="A123" t="n">
        <v>261</v>
      </c>
      <c r="B123" t="inlineStr">
        <is>
          <t>2 — Sessions</t>
        </is>
      </c>
      <c r="C123" t="n">
        <v>23</v>
      </c>
      <c r="D123" t="inlineStr">
        <is>
          <t>Add Session — Prop Firm Mode</t>
        </is>
      </c>
      <c r="E123" t="inlineStr">
        <is>
          <t>Configuration</t>
        </is>
      </c>
      <c r="F123" t="inlineStr">
        <is>
          <t>P1</t>
        </is>
      </c>
      <c r="G123" t="inlineStr">
        <is>
          <t>Prop on Futures asset class.</t>
        </is>
      </c>
      <c r="H123" t="inlineStr">
        <is>
          <t>Futures</t>
        </is>
      </c>
      <c r="I123" t="inlineStr">
        <is>
          <t>Prop tab may be disabled — verify.</t>
        </is>
      </c>
      <c r="J123" t="inlineStr">
        <is>
          <t>— Not tested</t>
        </is>
      </c>
      <c r="K123" t="inlineStr">
        <is>
          <t>— Not tested</t>
        </is>
      </c>
      <c r="L123" t="inlineStr">
        <is>
          <t>— Not tested</t>
        </is>
      </c>
    </row>
    <row r="124">
      <c r="A124" t="n">
        <v>262</v>
      </c>
      <c r="B124" t="inlineStr">
        <is>
          <t>2 — Sessions</t>
        </is>
      </c>
      <c r="C124" t="n">
        <v>23</v>
      </c>
      <c r="D124" t="inlineStr">
        <is>
          <t>Add Session — Prop Firm Mode</t>
        </is>
      </c>
      <c r="E124" t="inlineStr">
        <is>
          <t>Configuration</t>
        </is>
      </c>
      <c r="F124" t="inlineStr">
        <is>
          <t>P1</t>
        </is>
      </c>
      <c r="G124" t="inlineStr">
        <is>
          <t>Firm preset FTMO.</t>
        </is>
      </c>
      <c r="H124" t="inlineStr">
        <is>
          <t>FTMO</t>
        </is>
      </c>
      <c r="I124" t="inlineStr">
        <is>
          <t>Default rules populate.</t>
        </is>
      </c>
      <c r="J124" t="inlineStr">
        <is>
          <t>— Not tested</t>
        </is>
      </c>
      <c r="K124" t="inlineStr">
        <is>
          <t>— Not tested</t>
        </is>
      </c>
      <c r="L124" t="inlineStr">
        <is>
          <t>— Not tested</t>
        </is>
      </c>
    </row>
    <row r="125">
      <c r="A125" t="n">
        <v>263</v>
      </c>
      <c r="B125" t="inlineStr">
        <is>
          <t>2 — Sessions</t>
        </is>
      </c>
      <c r="C125" t="n">
        <v>23</v>
      </c>
      <c r="D125" t="inlineStr">
        <is>
          <t>Add Session — Prop Firm Mode</t>
        </is>
      </c>
      <c r="E125" t="inlineStr">
        <is>
          <t>Configuration</t>
        </is>
      </c>
      <c r="F125" t="inlineStr">
        <is>
          <t>P1</t>
        </is>
      </c>
      <c r="G125" t="inlineStr">
        <is>
          <t>Challenge type Evaluation.</t>
        </is>
      </c>
      <c r="H125" t="inlineStr">
        <is>
          <t>—</t>
        </is>
      </c>
      <c r="I125" t="inlineStr">
        <is>
          <t>Phase fields shown.</t>
        </is>
      </c>
      <c r="J125" t="inlineStr">
        <is>
          <t>— Not tested</t>
        </is>
      </c>
      <c r="K125" t="inlineStr">
        <is>
          <t>— Not tested</t>
        </is>
      </c>
      <c r="L125" t="inlineStr">
        <is>
          <t>— Not tested</t>
        </is>
      </c>
    </row>
    <row r="126">
      <c r="A126" t="n">
        <v>264</v>
      </c>
      <c r="B126" t="inlineStr">
        <is>
          <t>2 — Sessions</t>
        </is>
      </c>
      <c r="C126" t="n">
        <v>23</v>
      </c>
      <c r="D126" t="inlineStr">
        <is>
          <t>Add Session — Prop Firm Mode</t>
        </is>
      </c>
      <c r="E126" t="inlineStr">
        <is>
          <t>Configuration</t>
        </is>
      </c>
      <c r="F126" t="inlineStr">
        <is>
          <t>P1</t>
        </is>
      </c>
      <c r="G126" t="inlineStr">
        <is>
          <t>Num phases = 1.</t>
        </is>
      </c>
      <c r="H126" t="inlineStr">
        <is>
          <t>1</t>
        </is>
      </c>
      <c r="I126" t="inlineStr">
        <is>
          <t>Only Phase 1 fields.</t>
        </is>
      </c>
      <c r="J126" t="inlineStr">
        <is>
          <t>— Not tested</t>
        </is>
      </c>
      <c r="K126" t="inlineStr">
        <is>
          <t>— Not tested</t>
        </is>
      </c>
      <c r="L126" t="inlineStr">
        <is>
          <t>— Not tested</t>
        </is>
      </c>
    </row>
    <row r="127">
      <c r="A127" t="n">
        <v>265</v>
      </c>
      <c r="B127" t="inlineStr">
        <is>
          <t>2 — Sessions</t>
        </is>
      </c>
      <c r="C127" t="n">
        <v>23</v>
      </c>
      <c r="D127" t="inlineStr">
        <is>
          <t>Add Session — Prop Firm Mode</t>
        </is>
      </c>
      <c r="E127" t="inlineStr">
        <is>
          <t>Configuration</t>
        </is>
      </c>
      <c r="F127" t="inlineStr">
        <is>
          <t>P1</t>
        </is>
      </c>
      <c r="G127" t="inlineStr">
        <is>
          <t>Num phases = 2.</t>
        </is>
      </c>
      <c r="H127" t="inlineStr">
        <is>
          <t>2</t>
        </is>
      </c>
      <c r="I127" t="inlineStr">
        <is>
          <t>Phase 2 fields appear.</t>
        </is>
      </c>
      <c r="J127" t="inlineStr">
        <is>
          <t>— Not tested</t>
        </is>
      </c>
      <c r="K127" t="inlineStr">
        <is>
          <t>— Not tested</t>
        </is>
      </c>
      <c r="L127" t="inlineStr">
        <is>
          <t>— Not tested</t>
        </is>
      </c>
    </row>
    <row r="128">
      <c r="A128" t="n">
        <v>266</v>
      </c>
      <c r="B128" t="inlineStr">
        <is>
          <t>2 — Sessions</t>
        </is>
      </c>
      <c r="C128" t="n">
        <v>23</v>
      </c>
      <c r="D128" t="inlineStr">
        <is>
          <t>Add Session — Prop Firm Mode</t>
        </is>
      </c>
      <c r="E128" t="inlineStr">
        <is>
          <t>Configuration</t>
        </is>
      </c>
      <c r="F128" t="inlineStr">
        <is>
          <t>P1</t>
        </is>
      </c>
      <c r="G128" t="inlineStr">
        <is>
          <t>Phase 1 daily loss 5%.</t>
        </is>
      </c>
      <c r="H128" t="inlineStr">
        <is>
          <t>5</t>
        </is>
      </c>
      <c r="I128" t="inlineStr">
        <is>
          <t>Saves.</t>
        </is>
      </c>
      <c r="J128" t="inlineStr">
        <is>
          <t>— Not tested</t>
        </is>
      </c>
      <c r="K128" t="inlineStr">
        <is>
          <t>— Not tested</t>
        </is>
      </c>
      <c r="L128" t="inlineStr">
        <is>
          <t>— Not tested</t>
        </is>
      </c>
    </row>
    <row r="129">
      <c r="A129" t="n">
        <v>267</v>
      </c>
      <c r="B129" t="inlineStr">
        <is>
          <t>2 — Sessions</t>
        </is>
      </c>
      <c r="C129" t="n">
        <v>23</v>
      </c>
      <c r="D129" t="inlineStr">
        <is>
          <t>Add Session — Prop Firm Mode</t>
        </is>
      </c>
      <c r="E129" t="inlineStr">
        <is>
          <t>Configuration</t>
        </is>
      </c>
      <c r="F129" t="inlineStr">
        <is>
          <t>P1</t>
        </is>
      </c>
      <c r="G129" t="inlineStr">
        <is>
          <t>Phase 1 max DD 10%.</t>
        </is>
      </c>
      <c r="H129" t="inlineStr">
        <is>
          <t>10</t>
        </is>
      </c>
      <c r="I129" t="inlineStr">
        <is>
          <t>Saves.</t>
        </is>
      </c>
      <c r="J129" t="inlineStr">
        <is>
          <t>— Not tested</t>
        </is>
      </c>
      <c r="K129" t="inlineStr">
        <is>
          <t>— Not tested</t>
        </is>
      </c>
      <c r="L129" t="inlineStr">
        <is>
          <t>— Not tested</t>
        </is>
      </c>
    </row>
    <row r="130">
      <c r="A130" t="n">
        <v>268</v>
      </c>
      <c r="B130" t="inlineStr">
        <is>
          <t>2 — Sessions</t>
        </is>
      </c>
      <c r="C130" t="n">
        <v>23</v>
      </c>
      <c r="D130" t="inlineStr">
        <is>
          <t>Add Session — Prop Firm Mode</t>
        </is>
      </c>
      <c r="E130" t="inlineStr">
        <is>
          <t>Configuration</t>
        </is>
      </c>
      <c r="F130" t="inlineStr">
        <is>
          <t>P1</t>
        </is>
      </c>
      <c r="G130" t="inlineStr">
        <is>
          <t>Phase 1 profit target 10%.</t>
        </is>
      </c>
      <c r="H130" t="inlineStr">
        <is>
          <t>10</t>
        </is>
      </c>
      <c r="I130" t="inlineStr">
        <is>
          <t>Saves.</t>
        </is>
      </c>
      <c r="J130" t="inlineStr">
        <is>
          <t>— Not tested</t>
        </is>
      </c>
      <c r="K130" t="inlineStr">
        <is>
          <t>— Not tested</t>
        </is>
      </c>
      <c r="L130" t="inlineStr">
        <is>
          <t>— Not tested</t>
        </is>
      </c>
    </row>
    <row r="131">
      <c r="A131" t="n">
        <v>269</v>
      </c>
      <c r="B131" t="inlineStr">
        <is>
          <t>2 — Sessions</t>
        </is>
      </c>
      <c r="C131" t="n">
        <v>23</v>
      </c>
      <c r="D131" t="inlineStr">
        <is>
          <t>Add Session — Prop Firm Mode</t>
        </is>
      </c>
      <c r="E131" t="inlineStr">
        <is>
          <t>Configuration</t>
        </is>
      </c>
      <c r="F131" t="inlineStr">
        <is>
          <t>P1</t>
        </is>
      </c>
      <c r="G131" t="inlineStr">
        <is>
          <t>Phase 1 min days ON, value 4.</t>
        </is>
      </c>
      <c r="H131" t="inlineStr">
        <is>
          <t>4</t>
        </is>
      </c>
      <c r="I131" t="inlineStr">
        <is>
          <t>Min trading days rule.</t>
        </is>
      </c>
      <c r="J131" t="inlineStr">
        <is>
          <t>— Not tested</t>
        </is>
      </c>
      <c r="K131" t="inlineStr">
        <is>
          <t>— Not tested</t>
        </is>
      </c>
      <c r="L131" t="inlineStr">
        <is>
          <t>— Not tested</t>
        </is>
      </c>
    </row>
    <row r="132">
      <c r="A132" t="n">
        <v>270</v>
      </c>
      <c r="B132" t="inlineStr">
        <is>
          <t>2 — Sessions</t>
        </is>
      </c>
      <c r="C132" t="n">
        <v>23</v>
      </c>
      <c r="D132" t="inlineStr">
        <is>
          <t>Add Session — Prop Firm Mode</t>
        </is>
      </c>
      <c r="E132" t="inlineStr">
        <is>
          <t>Configuration</t>
        </is>
      </c>
      <c r="F132" t="inlineStr">
        <is>
          <t>P2</t>
        </is>
      </c>
      <c r="G132" t="inlineStr">
        <is>
          <t>Phase 1 min days OFF.</t>
        </is>
      </c>
      <c r="H132" t="inlineStr">
        <is>
          <t>disabled</t>
        </is>
      </c>
      <c r="I132" t="inlineStr">
        <is>
          <t>Field grayed.</t>
        </is>
      </c>
      <c r="J132" t="inlineStr">
        <is>
          <t>— Not tested</t>
        </is>
      </c>
      <c r="K132" t="inlineStr">
        <is>
          <t>— Not tested</t>
        </is>
      </c>
      <c r="L132" t="inlineStr">
        <is>
          <t>— Not tested</t>
        </is>
      </c>
    </row>
    <row r="133">
      <c r="A133" t="n">
        <v>271</v>
      </c>
      <c r="B133" t="inlineStr">
        <is>
          <t>2 — Sessions</t>
        </is>
      </c>
      <c r="C133" t="n">
        <v>23</v>
      </c>
      <c r="D133" t="inlineStr">
        <is>
          <t>Add Session — Prop Firm Mode</t>
        </is>
      </c>
      <c r="E133" t="inlineStr">
        <is>
          <t>Configuration</t>
        </is>
      </c>
      <c r="F133" t="inlineStr">
        <is>
          <t>P2</t>
        </is>
      </c>
      <c r="G133" t="inlineStr">
        <is>
          <t>Phase 1 amounts $ mode: daily loss $1000.</t>
        </is>
      </c>
      <c r="H133" t="inlineStr">
        <is>
          <t>$1000</t>
        </is>
      </c>
      <c r="I133" t="inlineStr">
        <is>
          <t>Dollar-based rules.</t>
        </is>
      </c>
      <c r="J133" t="inlineStr">
        <is>
          <t>— Not tested</t>
        </is>
      </c>
      <c r="K133" t="inlineStr">
        <is>
          <t>— Not tested</t>
        </is>
      </c>
      <c r="L133" t="inlineStr">
        <is>
          <t>— Not tested</t>
        </is>
      </c>
    </row>
    <row r="134">
      <c r="A134" t="n">
        <v>272</v>
      </c>
      <c r="B134" t="inlineStr">
        <is>
          <t>2 — Sessions</t>
        </is>
      </c>
      <c r="C134" t="n">
        <v>23</v>
      </c>
      <c r="D134" t="inlineStr">
        <is>
          <t>Add Session — Prop Firm Mode</t>
        </is>
      </c>
      <c r="E134" t="inlineStr">
        <is>
          <t>Configuration</t>
        </is>
      </c>
      <c r="F134" t="inlineStr">
        <is>
          <t>P1</t>
        </is>
      </c>
      <c r="G134" t="inlineStr">
        <is>
          <t>Trailing drawdown ON.</t>
        </is>
      </c>
      <c r="H134" t="inlineStr">
        <is>
          <t>—</t>
        </is>
      </c>
      <c r="I134" t="inlineStr">
        <is>
          <t>Trailing DD active in chart.</t>
        </is>
      </c>
      <c r="J134" t="inlineStr">
        <is>
          <t>— Not tested</t>
        </is>
      </c>
      <c r="K134" t="inlineStr">
        <is>
          <t>— Not tested</t>
        </is>
      </c>
      <c r="L134" t="inlineStr">
        <is>
          <t>— Not tested</t>
        </is>
      </c>
    </row>
    <row r="135">
      <c r="A135" t="n">
        <v>273</v>
      </c>
      <c r="B135" t="inlineStr">
        <is>
          <t>2 — Sessions</t>
        </is>
      </c>
      <c r="C135" t="n">
        <v>23</v>
      </c>
      <c r="D135" t="inlineStr">
        <is>
          <t>Add Session — Prop Firm Mode</t>
        </is>
      </c>
      <c r="E135" t="inlineStr">
        <is>
          <t>Configuration</t>
        </is>
      </c>
      <c r="F135" t="inlineStr">
        <is>
          <t>P2</t>
        </is>
      </c>
      <c r="G135" t="inlineStr">
        <is>
          <t>Consistency rule ON, 30%.</t>
        </is>
      </c>
      <c r="H135" t="inlineStr">
        <is>
          <t>30%</t>
        </is>
      </c>
      <c r="I135" t="inlineStr">
        <is>
          <t>Consistency enforced.</t>
        </is>
      </c>
      <c r="J135" t="inlineStr">
        <is>
          <t>— Not tested</t>
        </is>
      </c>
      <c r="K135" t="inlineStr">
        <is>
          <t>— Not tested</t>
        </is>
      </c>
      <c r="L135" t="inlineStr">
        <is>
          <t>— Not tested</t>
        </is>
      </c>
    </row>
    <row r="136">
      <c r="A136" t="n">
        <v>274</v>
      </c>
      <c r="B136" t="inlineStr">
        <is>
          <t>2 — Sessions</t>
        </is>
      </c>
      <c r="C136" t="n">
        <v>23</v>
      </c>
      <c r="D136" t="inlineStr">
        <is>
          <t>Add Session — Prop Firm Mode</t>
        </is>
      </c>
      <c r="E136" t="inlineStr">
        <is>
          <t>Configuration</t>
        </is>
      </c>
      <c r="F136" t="inlineStr">
        <is>
          <t>P2</t>
        </is>
      </c>
      <c r="G136" t="inlineStr">
        <is>
          <t>Weekend holding ON.</t>
        </is>
      </c>
      <c r="H136" t="inlineStr">
        <is>
          <t>—</t>
        </is>
      </c>
      <c r="I136" t="inlineStr">
        <is>
          <t>Allows weekend positions.</t>
        </is>
      </c>
      <c r="J136" t="inlineStr">
        <is>
          <t>— Not tested</t>
        </is>
      </c>
      <c r="K136" t="inlineStr">
        <is>
          <t>— Not tested</t>
        </is>
      </c>
      <c r="L136" t="inlineStr">
        <is>
          <t>— Not tested</t>
        </is>
      </c>
    </row>
    <row r="137">
      <c r="A137" t="n">
        <v>275</v>
      </c>
      <c r="B137" t="inlineStr">
        <is>
          <t>2 — Sessions</t>
        </is>
      </c>
      <c r="C137" t="n">
        <v>23</v>
      </c>
      <c r="D137" t="inlineStr">
        <is>
          <t>Add Session — Prop Firm Mode</t>
        </is>
      </c>
      <c r="E137" t="inlineStr">
        <is>
          <t>Configuration</t>
        </is>
      </c>
      <c r="F137" t="inlineStr">
        <is>
          <t>P2</t>
        </is>
      </c>
      <c r="G137" t="inlineStr">
        <is>
          <t>Max contracts ON, value 5.</t>
        </is>
      </c>
      <c r="H137" t="inlineStr">
        <is>
          <t>5</t>
        </is>
      </c>
      <c r="I137" t="inlineStr">
        <is>
          <t>Caps position size.</t>
        </is>
      </c>
      <c r="J137" t="inlineStr">
        <is>
          <t>— Not tested</t>
        </is>
      </c>
      <c r="K137" t="inlineStr">
        <is>
          <t>— Not tested</t>
        </is>
      </c>
      <c r="L137" t="inlineStr">
        <is>
          <t>— Not tested</t>
        </is>
      </c>
    </row>
    <row r="138">
      <c r="A138" t="n">
        <v>276</v>
      </c>
      <c r="B138" t="inlineStr">
        <is>
          <t>2 — Sessions</t>
        </is>
      </c>
      <c r="C138" t="n">
        <v>23</v>
      </c>
      <c r="D138" t="inlineStr">
        <is>
          <t>Add Session — Prop Firm Mode</t>
        </is>
      </c>
      <c r="E138" t="inlineStr">
        <is>
          <t>Configuration</t>
        </is>
      </c>
      <c r="F138" t="inlineStr">
        <is>
          <t>P2</t>
        </is>
      </c>
      <c r="G138" t="inlineStr">
        <is>
          <t>Max lots ON with unit lots.</t>
        </is>
      </c>
      <c r="H138" t="inlineStr">
        <is>
          <t>lots</t>
        </is>
      </c>
      <c r="I138" t="inlineStr">
        <is>
          <t>Forex lot cap.</t>
        </is>
      </c>
      <c r="J138" t="inlineStr">
        <is>
          <t>— Not tested</t>
        </is>
      </c>
      <c r="K138" t="inlineStr">
        <is>
          <t>— Not tested</t>
        </is>
      </c>
      <c r="L138" t="inlineStr">
        <is>
          <t>— Not tested</t>
        </is>
      </c>
    </row>
    <row r="139">
      <c r="A139" t="n">
        <v>277</v>
      </c>
      <c r="B139" t="inlineStr">
        <is>
          <t>2 — Sessions</t>
        </is>
      </c>
      <c r="C139" t="n">
        <v>24</v>
      </c>
      <c r="D139" t="inlineStr">
        <is>
          <t>Add Session — Save, Start, Limits</t>
        </is>
      </c>
      <c r="E139" t="inlineStr">
        <is>
          <t>Logic</t>
        </is>
      </c>
      <c r="F139" t="inlineStr">
        <is>
          <t>P0</t>
        </is>
      </c>
      <c r="G139" t="inlineStr">
        <is>
          <t>Fill required fields → Save (no launch).</t>
        </is>
      </c>
      <c r="H139" t="inlineStr">
        <is>
          <t>—</t>
        </is>
      </c>
      <c r="I139" t="inlineStr">
        <is>
          <t>Session in list as Not Started.</t>
        </is>
      </c>
      <c r="J139" t="inlineStr">
        <is>
          <t>— Not tested</t>
        </is>
      </c>
      <c r="K139" t="inlineStr">
        <is>
          <t>— Not tested</t>
        </is>
      </c>
      <c r="L139" t="inlineStr">
        <is>
          <t>— Not tested</t>
        </is>
      </c>
    </row>
    <row r="140">
      <c r="A140" t="n">
        <v>278</v>
      </c>
      <c r="B140" t="inlineStr">
        <is>
          <t>2 — Sessions</t>
        </is>
      </c>
      <c r="C140" t="n">
        <v>24</v>
      </c>
      <c r="D140" t="inlineStr">
        <is>
          <t>Add Session — Save, Start, Limits</t>
        </is>
      </c>
      <c r="E140" t="inlineStr">
        <is>
          <t>Logic</t>
        </is>
      </c>
      <c r="F140" t="inlineStr">
        <is>
          <t>P0</t>
        </is>
      </c>
      <c r="G140" t="inlineStr">
        <is>
          <t>Fill required → Start Session.</t>
        </is>
      </c>
      <c r="H140" t="inlineStr">
        <is>
          <t>—</t>
        </is>
      </c>
      <c r="I140" t="inlineStr">
        <is>
          <t>Redirects to chart; session Active.</t>
        </is>
      </c>
      <c r="J140" t="inlineStr">
        <is>
          <t>— Not tested</t>
        </is>
      </c>
      <c r="K140" t="inlineStr">
        <is>
          <t>— Not tested</t>
        </is>
      </c>
      <c r="L140" t="inlineStr">
        <is>
          <t>— Not tested</t>
        </is>
      </c>
    </row>
    <row r="141">
      <c r="A141" t="n">
        <v>279</v>
      </c>
      <c r="B141" t="inlineStr">
        <is>
          <t>2 — Sessions</t>
        </is>
      </c>
      <c r="C141" t="n">
        <v>24</v>
      </c>
      <c r="D141" t="inlineStr">
        <is>
          <t>Add Session — Save, Start, Limits</t>
        </is>
      </c>
      <c r="E141" t="inlineStr">
        <is>
          <t>Logic</t>
        </is>
      </c>
      <c r="F141" t="inlineStr">
        <is>
          <t>P0</t>
        </is>
      </c>
      <c r="G141" t="inlineStr">
        <is>
          <t>Missing name → buttons disabled.</t>
        </is>
      </c>
      <c r="H141" t="inlineStr">
        <is>
          <t>—</t>
        </is>
      </c>
      <c r="I141" t="inlineStr">
        <is>
          <t>Cannot submit.</t>
        </is>
      </c>
      <c r="J141" t="inlineStr">
        <is>
          <t>— Not tested</t>
        </is>
      </c>
      <c r="K141" t="inlineStr">
        <is>
          <t>— Not tested</t>
        </is>
      </c>
      <c r="L141" t="inlineStr">
        <is>
          <t>— Not tested</t>
        </is>
      </c>
    </row>
    <row r="142">
      <c r="A142" t="n">
        <v>280</v>
      </c>
      <c r="B142" t="inlineStr">
        <is>
          <t>2 — Sessions</t>
        </is>
      </c>
      <c r="C142" t="n">
        <v>24</v>
      </c>
      <c r="D142" t="inlineStr">
        <is>
          <t>Add Session — Save, Start, Limits</t>
        </is>
      </c>
      <c r="E142" t="inlineStr">
        <is>
          <t>Logic</t>
        </is>
      </c>
      <c r="F142" t="inlineStr">
        <is>
          <t>P0</t>
        </is>
      </c>
      <c r="G142" t="inlineStr">
        <is>
          <t>Missing ticker → disabled.</t>
        </is>
      </c>
      <c r="H142" t="inlineStr">
        <is>
          <t>—</t>
        </is>
      </c>
      <c r="I142" t="inlineStr">
        <is>
          <t>Cannot submit.</t>
        </is>
      </c>
      <c r="J142" t="inlineStr">
        <is>
          <t>— Not tested</t>
        </is>
      </c>
      <c r="K142" t="inlineStr">
        <is>
          <t>— Not tested</t>
        </is>
      </c>
      <c r="L142" t="inlineStr">
        <is>
          <t>— Not tested</t>
        </is>
      </c>
    </row>
    <row r="143">
      <c r="A143" t="n">
        <v>281</v>
      </c>
      <c r="B143" t="inlineStr">
        <is>
          <t>2 — Sessions</t>
        </is>
      </c>
      <c r="C143" t="n">
        <v>24</v>
      </c>
      <c r="D143" t="inlineStr">
        <is>
          <t>Add Session — Save, Start, Limits</t>
        </is>
      </c>
      <c r="E143" t="inlineStr">
        <is>
          <t>Logic</t>
        </is>
      </c>
      <c r="F143" t="inlineStr">
        <is>
          <t>P0</t>
        </is>
      </c>
      <c r="G143" t="inlineStr">
        <is>
          <t>Missing dates → disabled.</t>
        </is>
      </c>
      <c r="H143" t="inlineStr">
        <is>
          <t>—</t>
        </is>
      </c>
      <c r="I143" t="inlineStr">
        <is>
          <t>Cannot submit.</t>
        </is>
      </c>
      <c r="J143" t="inlineStr">
        <is>
          <t>— Not tested</t>
        </is>
      </c>
      <c r="K143" t="inlineStr">
        <is>
          <t>— Not tested</t>
        </is>
      </c>
      <c r="L143" t="inlineStr">
        <is>
          <t>— Not tested</t>
        </is>
      </c>
    </row>
    <row r="144">
      <c r="A144" t="n">
        <v>282</v>
      </c>
      <c r="B144" t="inlineStr">
        <is>
          <t>2 — Sessions</t>
        </is>
      </c>
      <c r="C144" t="n">
        <v>24</v>
      </c>
      <c r="D144" t="inlineStr">
        <is>
          <t>Add Session — Save, Start, Limits</t>
        </is>
      </c>
      <c r="E144" t="inlineStr">
        <is>
          <t>Logic</t>
        </is>
      </c>
      <c r="F144" t="inlineStr">
        <is>
          <t>P0</t>
        </is>
      </c>
      <c r="G144" t="inlineStr">
        <is>
          <t>Missing capital → disabled.</t>
        </is>
      </c>
      <c r="H144" t="inlineStr">
        <is>
          <t>—</t>
        </is>
      </c>
      <c r="I144" t="inlineStr">
        <is>
          <t>Cannot submit.</t>
        </is>
      </c>
      <c r="J144" t="inlineStr">
        <is>
          <t>— Not tested</t>
        </is>
      </c>
      <c r="K144" t="inlineStr">
        <is>
          <t>— Not tested</t>
        </is>
      </c>
      <c r="L144" t="inlineStr">
        <is>
          <t>— Not tested</t>
        </is>
      </c>
    </row>
    <row r="145">
      <c r="A145" t="n">
        <v>283</v>
      </c>
      <c r="B145" t="inlineStr">
        <is>
          <t>2 — Sessions</t>
        </is>
      </c>
      <c r="C145" t="n">
        <v>24</v>
      </c>
      <c r="D145" t="inlineStr">
        <is>
          <t>Add Session — Save, Start, Limits</t>
        </is>
      </c>
      <c r="E145" t="inlineStr">
        <is>
          <t>Logic</t>
        </is>
      </c>
      <c r="F145" t="inlineStr">
        <is>
          <t>P1</t>
        </is>
      </c>
      <c r="G145" t="inlineStr">
        <is>
          <t>At session plan cap → create another.</t>
        </is>
      </c>
      <c r="H145" t="inlineStr">
        <is>
          <t>—</t>
        </is>
      </c>
      <c r="I145" t="inlineStr">
        <is>
          <t>Session limit modal.</t>
        </is>
      </c>
      <c r="J145" t="inlineStr">
        <is>
          <t>— Not tested</t>
        </is>
      </c>
      <c r="K145" t="inlineStr">
        <is>
          <t>— Not tested</t>
        </is>
      </c>
      <c r="L145" t="inlineStr">
        <is>
          <t>— Not tested</t>
        </is>
      </c>
    </row>
    <row r="146">
      <c r="A146" t="n">
        <v>284</v>
      </c>
      <c r="B146" t="inlineStr">
        <is>
          <t>2 — Sessions</t>
        </is>
      </c>
      <c r="C146" t="n">
        <v>24</v>
      </c>
      <c r="D146" t="inlineStr">
        <is>
          <t>Add Session — Save, Start, Limits</t>
        </is>
      </c>
      <c r="E146" t="inlineStr">
        <is>
          <t>Logic</t>
        </is>
      </c>
      <c r="F146" t="inlineStr">
        <is>
          <t>P0</t>
        </is>
      </c>
      <c r="G146" t="inlineStr">
        <is>
          <t>Edit not-started session: change name, Save.</t>
        </is>
      </c>
      <c r="H146" t="inlineStr">
        <is>
          <t>—</t>
        </is>
      </c>
      <c r="I146" t="inlineStr">
        <is>
          <t>Updates in list.</t>
        </is>
      </c>
      <c r="J146" t="inlineStr">
        <is>
          <t>— Not tested</t>
        </is>
      </c>
      <c r="K146" t="inlineStr">
        <is>
          <t>— Not tested</t>
        </is>
      </c>
      <c r="L146" t="inlineStr">
        <is>
          <t>— Not tested</t>
        </is>
      </c>
    </row>
    <row r="147">
      <c r="A147" t="n">
        <v>285</v>
      </c>
      <c r="B147" t="inlineStr">
        <is>
          <t>2 — Sessions</t>
        </is>
      </c>
      <c r="C147" t="n">
        <v>24</v>
      </c>
      <c r="D147" t="inlineStr">
        <is>
          <t>Add Session — Save, Start, Limits</t>
        </is>
      </c>
      <c r="E147" t="inlineStr">
        <is>
          <t>Logic</t>
        </is>
      </c>
      <c r="F147" t="inlineStr">
        <is>
          <t>P1</t>
        </is>
      </c>
      <c r="G147" t="inlineStr">
        <is>
          <t>Edit not-started: change all fields, Save.</t>
        </is>
      </c>
      <c r="H147" t="inlineStr">
        <is>
          <t>—</t>
        </is>
      </c>
      <c r="I147" t="inlineStr">
        <is>
          <t>All persist on reopen.</t>
        </is>
      </c>
      <c r="J147" t="inlineStr">
        <is>
          <t>— Not tested</t>
        </is>
      </c>
      <c r="K147" t="inlineStr">
        <is>
          <t>— Not tested</t>
        </is>
      </c>
      <c r="L147" t="inlineStr">
        <is>
          <t>— Not tested</t>
        </is>
      </c>
    </row>
    <row r="148">
      <c r="A148" t="n">
        <v>437</v>
      </c>
      <c r="B148" t="inlineStr">
        <is>
          <t>2 — Sessions</t>
        </is>
      </c>
      <c r="C148" t="n">
        <v>42</v>
      </c>
      <c r="D148" t="inlineStr">
        <is>
          <t>Sessions — Visual Structure per Mode</t>
        </is>
      </c>
      <c r="E148" t="inlineStr">
        <is>
          <t>Structure</t>
        </is>
      </c>
      <c r="F148" t="inlineStr">
        <is>
          <t>P1</t>
        </is>
      </c>
      <c r="G148" t="inlineStr">
        <is>
          <t>Open **Standard backtest** session card in Cards view.</t>
        </is>
      </c>
      <c r="H148" t="inlineStr">
        <is>
          <t>Standard backtest</t>
        </is>
      </c>
      <c r="I148" t="inlineStr">
        <is>
          <t>Card shows correct blue/std styling, date range bar, rollback/costs chips; progress bar 0–100%.</t>
        </is>
      </c>
      <c r="J148" t="inlineStr">
        <is>
          <t>— Not tested</t>
        </is>
      </c>
      <c r="K148" t="inlineStr">
        <is>
          <t>— Not tested</t>
        </is>
      </c>
      <c r="L148" t="inlineStr">
        <is>
          <t>— Not tested</t>
        </is>
      </c>
    </row>
    <row r="149">
      <c r="A149" t="n">
        <v>438</v>
      </c>
      <c r="B149" t="inlineStr">
        <is>
          <t>2 — Sessions</t>
        </is>
      </c>
      <c r="C149" t="n">
        <v>42</v>
      </c>
      <c r="D149" t="inlineStr">
        <is>
          <t>Sessions — Visual Structure per Mode</t>
        </is>
      </c>
      <c r="E149" t="inlineStr">
        <is>
          <t>Structure</t>
        </is>
      </c>
      <c r="F149" t="inlineStr">
        <is>
          <t>P1</t>
        </is>
      </c>
      <c r="G149" t="inlineStr">
        <is>
          <t>Open **Prop Firm backtest** session card in Cards view.</t>
        </is>
      </c>
      <c r="H149" t="inlineStr">
        <is>
          <t>Prop Firm backtest</t>
        </is>
      </c>
      <c r="I149" t="inlineStr">
        <is>
          <t>Card shows correct gold styling, prop badge, firm name if shown; progress bar 0–100%.</t>
        </is>
      </c>
      <c r="J149" t="inlineStr">
        <is>
          <t>— Not tested</t>
        </is>
      </c>
      <c r="K149" t="inlineStr">
        <is>
          <t>— Not tested</t>
        </is>
      </c>
      <c r="L149" t="inlineStr">
        <is>
          <t>— Not tested</t>
        </is>
      </c>
    </row>
    <row r="150">
      <c r="A150" t="n">
        <v>439</v>
      </c>
      <c r="B150" t="inlineStr">
        <is>
          <t>2 — Sessions</t>
        </is>
      </c>
      <c r="C150" t="n">
        <v>42</v>
      </c>
      <c r="D150" t="inlineStr">
        <is>
          <t>Sessions — Visual Structure per Mode</t>
        </is>
      </c>
      <c r="E150" t="inlineStr">
        <is>
          <t>Structure</t>
        </is>
      </c>
      <c r="F150" t="inlineStr">
        <is>
          <t>P1</t>
        </is>
      </c>
      <c r="G150" t="inlineStr">
        <is>
          <t>Open **Journal session** session card in Cards view.</t>
        </is>
      </c>
      <c r="H150" t="inlineStr">
        <is>
          <t>Journal session</t>
        </is>
      </c>
      <c r="I150" t="inlineStr">
        <is>
          <t>Card shows correct green styling, 'Live · since' or manual label; progress bar 0–100%.</t>
        </is>
      </c>
      <c r="J150" t="inlineStr">
        <is>
          <t>— Not tested</t>
        </is>
      </c>
      <c r="K150" t="inlineStr">
        <is>
          <t>— Not tested</t>
        </is>
      </c>
      <c r="L150" t="inlineStr">
        <is>
          <t>— Not tested</t>
        </is>
      </c>
    </row>
    <row r="151">
      <c r="A151" t="n">
        <v>440</v>
      </c>
      <c r="B151" t="inlineStr">
        <is>
          <t>2 — Sessions</t>
        </is>
      </c>
      <c r="C151" t="n">
        <v>42</v>
      </c>
      <c r="D151" t="inlineStr">
        <is>
          <t>Sessions — Visual Structure per Mode</t>
        </is>
      </c>
      <c r="E151" t="inlineStr">
        <is>
          <t>Structure</t>
        </is>
      </c>
      <c r="F151" t="inlineStr">
        <is>
          <t>P1</t>
        </is>
      </c>
      <c r="G151" t="inlineStr">
        <is>
          <t>Rows view: verify column headers align with data.</t>
        </is>
      </c>
      <c r="H151" t="inlineStr">
        <is>
          <t>—</t>
        </is>
      </c>
      <c r="I151" t="inlineStr">
        <is>
          <t>No column shift on horizontal scroll.</t>
        </is>
      </c>
      <c r="J151" t="inlineStr">
        <is>
          <t>— Not tested</t>
        </is>
      </c>
      <c r="K151" t="inlineStr">
        <is>
          <t>— Not tested</t>
        </is>
      </c>
      <c r="L151" t="inlineStr">
        <is>
          <t>— Not tested</t>
        </is>
      </c>
    </row>
    <row r="152">
      <c r="A152" t="n">
        <v>441</v>
      </c>
      <c r="B152" t="inlineStr">
        <is>
          <t>2 — Sessions</t>
        </is>
      </c>
      <c r="C152" t="n">
        <v>42</v>
      </c>
      <c r="D152" t="inlineStr">
        <is>
          <t>Sessions — Visual Structure per Mode</t>
        </is>
      </c>
      <c r="E152" t="inlineStr">
        <is>
          <t>Structure</t>
        </is>
      </c>
      <c r="F152" t="inlineStr">
        <is>
          <t>P2</t>
        </is>
      </c>
      <c r="G152" t="inlineStr">
        <is>
          <t>Rows view: horizontal scroll with 20+ sessions.</t>
        </is>
      </c>
      <c r="H152" t="inlineStr">
        <is>
          <t>—</t>
        </is>
      </c>
      <c r="I152" t="inlineStr">
        <is>
          <t>Sticky filter row stays visible.</t>
        </is>
      </c>
      <c r="J152" t="inlineStr">
        <is>
          <t>— Not tested</t>
        </is>
      </c>
      <c r="K152" t="inlineStr">
        <is>
          <t>— Not tested</t>
        </is>
      </c>
      <c r="L152" t="inlineStr">
        <is>
          <t>— Not tested</t>
        </is>
      </c>
    </row>
    <row r="153">
      <c r="A153" t="n">
        <v>442</v>
      </c>
      <c r="B153" t="inlineStr">
        <is>
          <t>2 — Sessions</t>
        </is>
      </c>
      <c r="C153" t="n">
        <v>42</v>
      </c>
      <c r="D153" t="inlineStr">
        <is>
          <t>Sessions — Visual Structure per Mode</t>
        </is>
      </c>
      <c r="E153" t="inlineStr">
        <is>
          <t>Structure</t>
        </is>
      </c>
      <c r="F153" t="inlineStr">
        <is>
          <t>P1</t>
        </is>
      </c>
      <c r="G153" t="inlineStr">
        <is>
          <t>Progress bar 0% (not started).</t>
        </is>
      </c>
      <c r="H153" t="inlineStr">
        <is>
          <t>—</t>
        </is>
      </c>
      <c r="I153" t="inlineStr">
        <is>
          <t>Empty bar.</t>
        </is>
      </c>
      <c r="J153" t="inlineStr">
        <is>
          <t>— Not tested</t>
        </is>
      </c>
      <c r="K153" t="inlineStr">
        <is>
          <t>— Not tested</t>
        </is>
      </c>
      <c r="L153" t="inlineStr">
        <is>
          <t>— Not tested</t>
        </is>
      </c>
    </row>
    <row r="154">
      <c r="A154" t="n">
        <v>443</v>
      </c>
      <c r="B154" t="inlineStr">
        <is>
          <t>2 — Sessions</t>
        </is>
      </c>
      <c r="C154" t="n">
        <v>42</v>
      </c>
      <c r="D154" t="inlineStr">
        <is>
          <t>Sessions — Visual Structure per Mode</t>
        </is>
      </c>
      <c r="E154" t="inlineStr">
        <is>
          <t>Structure</t>
        </is>
      </c>
      <c r="F154" t="inlineStr">
        <is>
          <t>P1</t>
        </is>
      </c>
      <c r="G154" t="inlineStr">
        <is>
          <t>Progress bar 50% (active).</t>
        </is>
      </c>
      <c r="H154" t="inlineStr">
        <is>
          <t>—</t>
        </is>
      </c>
      <c r="I154" t="inlineStr">
        <is>
          <t>Half fill.</t>
        </is>
      </c>
      <c r="J154" t="inlineStr">
        <is>
          <t>— Not tested</t>
        </is>
      </c>
      <c r="K154" t="inlineStr">
        <is>
          <t>— Not tested</t>
        </is>
      </c>
      <c r="L154" t="inlineStr">
        <is>
          <t>— Not tested</t>
        </is>
      </c>
    </row>
    <row r="155">
      <c r="A155" t="n">
        <v>444</v>
      </c>
      <c r="B155" t="inlineStr">
        <is>
          <t>2 — Sessions</t>
        </is>
      </c>
      <c r="C155" t="n">
        <v>42</v>
      </c>
      <c r="D155" t="inlineStr">
        <is>
          <t>Sessions — Visual Structure per Mode</t>
        </is>
      </c>
      <c r="E155" t="inlineStr">
        <is>
          <t>Structure</t>
        </is>
      </c>
      <c r="F155" t="inlineStr">
        <is>
          <t>P1</t>
        </is>
      </c>
      <c r="G155" t="inlineStr">
        <is>
          <t>Progress bar 100% (completed).</t>
        </is>
      </c>
      <c r="H155" t="inlineStr">
        <is>
          <t>—</t>
        </is>
      </c>
      <c r="I155" t="inlineStr">
        <is>
          <t>Full fill.</t>
        </is>
      </c>
      <c r="J155" t="inlineStr">
        <is>
          <t>— Not tested</t>
        </is>
      </c>
      <c r="K155" t="inlineStr">
        <is>
          <t>— Not tested</t>
        </is>
      </c>
      <c r="L155" t="inlineStr">
        <is>
          <t>— Not tested</t>
        </is>
      </c>
    </row>
    <row r="156">
      <c r="A156" t="n">
        <v>445</v>
      </c>
      <c r="B156" t="inlineStr">
        <is>
          <t>2 — Sessions</t>
        </is>
      </c>
      <c r="C156" t="n">
        <v>42</v>
      </c>
      <c r="D156" t="inlineStr">
        <is>
          <t>Sessions — Visual Structure per Mode</t>
        </is>
      </c>
      <c r="E156" t="inlineStr">
        <is>
          <t>Structure</t>
        </is>
      </c>
      <c r="F156" t="inlineStr">
        <is>
          <t>P1</t>
        </is>
      </c>
      <c r="G156" t="inlineStr">
        <is>
          <t>Negative P&amp;L session: red styling.</t>
        </is>
      </c>
      <c r="H156" t="inlineStr">
        <is>
          <t>losing session</t>
        </is>
      </c>
      <c r="I156" t="inlineStr">
        <is>
          <t>P&amp;L shown in red.</t>
        </is>
      </c>
      <c r="J156" t="inlineStr">
        <is>
          <t>— Not tested</t>
        </is>
      </c>
      <c r="K156" t="inlineStr">
        <is>
          <t>— Not tested</t>
        </is>
      </c>
      <c r="L156" t="inlineStr">
        <is>
          <t>— Not tested</t>
        </is>
      </c>
    </row>
    <row r="157">
      <c r="A157" t="n">
        <v>446</v>
      </c>
      <c r="B157" t="inlineStr">
        <is>
          <t>2 — Sessions</t>
        </is>
      </c>
      <c r="C157" t="n">
        <v>42</v>
      </c>
      <c r="D157" t="inlineStr">
        <is>
          <t>Sessions — Visual Structure per Mode</t>
        </is>
      </c>
      <c r="E157" t="inlineStr">
        <is>
          <t>Structure</t>
        </is>
      </c>
      <c r="F157" t="inlineStr">
        <is>
          <t>P1</t>
        </is>
      </c>
      <c r="G157" t="inlineStr">
        <is>
          <t>Positive P&amp;L session: green styling.</t>
        </is>
      </c>
      <c r="H157" t="inlineStr">
        <is>
          <t>winning session</t>
        </is>
      </c>
      <c r="I157" t="inlineStr">
        <is>
          <t>P&amp;L shown in green.</t>
        </is>
      </c>
      <c r="J157" t="inlineStr">
        <is>
          <t>— Not tested</t>
        </is>
      </c>
      <c r="K157" t="inlineStr">
        <is>
          <t>— Not tested</t>
        </is>
      </c>
      <c r="L157" t="inlineStr">
        <is>
          <t>— Not tested</t>
        </is>
      </c>
    </row>
    <row r="158">
      <c r="A158" t="n">
        <v>447</v>
      </c>
      <c r="B158" t="inlineStr">
        <is>
          <t>2 — Sessions</t>
        </is>
      </c>
      <c r="C158" t="n">
        <v>43</v>
      </c>
      <c r="D158" t="inlineStr">
        <is>
          <t>Add Session — Mode × Asset Class Matrix</t>
        </is>
      </c>
      <c r="E158" t="inlineStr">
        <is>
          <t>Configuration</t>
        </is>
      </c>
      <c r="F158" t="inlineStr">
        <is>
          <t>P2</t>
        </is>
      </c>
      <c r="G158" t="inlineStr">
        <is>
          <t>Create session: trading mode **standard**, asset class **Forex**.</t>
        </is>
      </c>
      <c r="H158" t="inlineStr">
        <is>
          <t>standard+Forex</t>
        </is>
      </c>
      <c r="I158" t="inlineStr">
        <is>
          <t>Modal saves; session card shows correct mode+asset; chart loads symbol from class.</t>
        </is>
      </c>
      <c r="J158" t="inlineStr">
        <is>
          <t>— Not tested</t>
        </is>
      </c>
      <c r="K158" t="inlineStr">
        <is>
          <t>— Not tested</t>
        </is>
      </c>
      <c r="L158" t="inlineStr">
        <is>
          <t>— Not tested</t>
        </is>
      </c>
    </row>
    <row r="159">
      <c r="A159" t="n">
        <v>448</v>
      </c>
      <c r="B159" t="inlineStr">
        <is>
          <t>2 — Sessions</t>
        </is>
      </c>
      <c r="C159" t="n">
        <v>43</v>
      </c>
      <c r="D159" t="inlineStr">
        <is>
          <t>Add Session — Mode × Asset Class Matrix</t>
        </is>
      </c>
      <c r="E159" t="inlineStr">
        <is>
          <t>Configuration</t>
        </is>
      </c>
      <c r="F159" t="inlineStr">
        <is>
          <t>P2</t>
        </is>
      </c>
      <c r="G159" t="inlineStr">
        <is>
          <t>Create session: trading mode **standard**, asset class **Futures**.</t>
        </is>
      </c>
      <c r="H159" t="inlineStr">
        <is>
          <t>standard+Futures</t>
        </is>
      </c>
      <c r="I159" t="inlineStr">
        <is>
          <t>Modal saves; session card shows correct mode+asset; chart loads symbol from class.</t>
        </is>
      </c>
      <c r="J159" t="inlineStr">
        <is>
          <t>— Not tested</t>
        </is>
      </c>
      <c r="K159" t="inlineStr">
        <is>
          <t>— Not tested</t>
        </is>
      </c>
      <c r="L159" t="inlineStr">
        <is>
          <t>— Not tested</t>
        </is>
      </c>
    </row>
    <row r="160">
      <c r="A160" t="n">
        <v>449</v>
      </c>
      <c r="B160" t="inlineStr">
        <is>
          <t>2 — Sessions</t>
        </is>
      </c>
      <c r="C160" t="n">
        <v>43</v>
      </c>
      <c r="D160" t="inlineStr">
        <is>
          <t>Add Session — Mode × Asset Class Matrix</t>
        </is>
      </c>
      <c r="E160" t="inlineStr">
        <is>
          <t>Configuration</t>
        </is>
      </c>
      <c r="F160" t="inlineStr">
        <is>
          <t>P2</t>
        </is>
      </c>
      <c r="G160" t="inlineStr">
        <is>
          <t>Create session: trading mode **standard**, asset class **Stocks**.</t>
        </is>
      </c>
      <c r="H160" t="inlineStr">
        <is>
          <t>standard+Stocks</t>
        </is>
      </c>
      <c r="I160" t="inlineStr">
        <is>
          <t>Modal saves; session card shows correct mode+asset; chart loads symbol from class.</t>
        </is>
      </c>
      <c r="J160" t="inlineStr">
        <is>
          <t>— Not tested</t>
        </is>
      </c>
      <c r="K160" t="inlineStr">
        <is>
          <t>— Not tested</t>
        </is>
      </c>
      <c r="L160" t="inlineStr">
        <is>
          <t>— Not tested</t>
        </is>
      </c>
    </row>
    <row r="161">
      <c r="A161" t="n">
        <v>450</v>
      </c>
      <c r="B161" t="inlineStr">
        <is>
          <t>2 — Sessions</t>
        </is>
      </c>
      <c r="C161" t="n">
        <v>43</v>
      </c>
      <c r="D161" t="inlineStr">
        <is>
          <t>Add Session — Mode × Asset Class Matrix</t>
        </is>
      </c>
      <c r="E161" t="inlineStr">
        <is>
          <t>Configuration</t>
        </is>
      </c>
      <c r="F161" t="inlineStr">
        <is>
          <t>P2</t>
        </is>
      </c>
      <c r="G161" t="inlineStr">
        <is>
          <t>Create session: trading mode **standard**, asset class **Crypto**.</t>
        </is>
      </c>
      <c r="H161" t="inlineStr">
        <is>
          <t>standard+Crypto</t>
        </is>
      </c>
      <c r="I161" t="inlineStr">
        <is>
          <t>Modal saves; session card shows correct mode+asset; chart loads symbol from class.</t>
        </is>
      </c>
      <c r="J161" t="inlineStr">
        <is>
          <t>— Not tested</t>
        </is>
      </c>
      <c r="K161" t="inlineStr">
        <is>
          <t>— Not tested</t>
        </is>
      </c>
      <c r="L161" t="inlineStr">
        <is>
          <t>— Not tested</t>
        </is>
      </c>
    </row>
    <row r="162">
      <c r="A162" t="n">
        <v>451</v>
      </c>
      <c r="B162" t="inlineStr">
        <is>
          <t>2 — Sessions</t>
        </is>
      </c>
      <c r="C162" t="n">
        <v>43</v>
      </c>
      <c r="D162" t="inlineStr">
        <is>
          <t>Add Session — Mode × Asset Class Matrix</t>
        </is>
      </c>
      <c r="E162" t="inlineStr">
        <is>
          <t>Configuration</t>
        </is>
      </c>
      <c r="F162" t="inlineStr">
        <is>
          <t>P2</t>
        </is>
      </c>
      <c r="G162" t="inlineStr">
        <is>
          <t>Create session: trading mode **prop**, asset class **Forex**.</t>
        </is>
      </c>
      <c r="H162" t="inlineStr">
        <is>
          <t>prop+Forex</t>
        </is>
      </c>
      <c r="I162" t="inlineStr">
        <is>
          <t>Modal saves; session card shows correct mode+asset; chart loads symbol from class.</t>
        </is>
      </c>
      <c r="J162" t="inlineStr">
        <is>
          <t>— Not tested</t>
        </is>
      </c>
      <c r="K162" t="inlineStr">
        <is>
          <t>— Not tested</t>
        </is>
      </c>
      <c r="L162" t="inlineStr">
        <is>
          <t>— Not tested</t>
        </is>
      </c>
    </row>
    <row r="163">
      <c r="A163" t="n">
        <v>452</v>
      </c>
      <c r="B163" t="inlineStr">
        <is>
          <t>2 — Sessions</t>
        </is>
      </c>
      <c r="C163" t="n">
        <v>43</v>
      </c>
      <c r="D163" t="inlineStr">
        <is>
          <t>Add Session — Mode × Asset Class Matrix</t>
        </is>
      </c>
      <c r="E163" t="inlineStr">
        <is>
          <t>Configuration</t>
        </is>
      </c>
      <c r="F163" t="inlineStr">
        <is>
          <t>P2</t>
        </is>
      </c>
      <c r="G163" t="inlineStr">
        <is>
          <t>Create session: trading mode **prop**, asset class **Futures**.</t>
        </is>
      </c>
      <c r="H163" t="inlineStr">
        <is>
          <t>prop+Futures</t>
        </is>
      </c>
      <c r="I163" t="inlineStr">
        <is>
          <t>Modal saves; session card shows correct mode+asset; chart loads symbol from class.</t>
        </is>
      </c>
      <c r="J163" t="inlineStr">
        <is>
          <t>— Not tested</t>
        </is>
      </c>
      <c r="K163" t="inlineStr">
        <is>
          <t>— Not tested</t>
        </is>
      </c>
      <c r="L163" t="inlineStr">
        <is>
          <t>— Not tested</t>
        </is>
      </c>
    </row>
    <row r="164">
      <c r="A164" t="n">
        <v>453</v>
      </c>
      <c r="B164" t="inlineStr">
        <is>
          <t>2 — Sessions</t>
        </is>
      </c>
      <c r="C164" t="n">
        <v>43</v>
      </c>
      <c r="D164" t="inlineStr">
        <is>
          <t>Add Session — Mode × Asset Class Matrix</t>
        </is>
      </c>
      <c r="E164" t="inlineStr">
        <is>
          <t>Configuration</t>
        </is>
      </c>
      <c r="F164" t="inlineStr">
        <is>
          <t>P2</t>
        </is>
      </c>
      <c r="G164" t="inlineStr">
        <is>
          <t>Create session: trading mode **prop**, asset class **Stocks**.</t>
        </is>
      </c>
      <c r="H164" t="inlineStr">
        <is>
          <t>prop+Stocks</t>
        </is>
      </c>
      <c r="I164" t="inlineStr">
        <is>
          <t>Modal saves; session card shows correct mode+asset; chart loads symbol from class.</t>
        </is>
      </c>
      <c r="J164" t="inlineStr">
        <is>
          <t>— Not tested</t>
        </is>
      </c>
      <c r="K164" t="inlineStr">
        <is>
          <t>— Not tested</t>
        </is>
      </c>
      <c r="L164" t="inlineStr">
        <is>
          <t>— Not tested</t>
        </is>
      </c>
    </row>
    <row r="165">
      <c r="A165" t="n">
        <v>454</v>
      </c>
      <c r="B165" t="inlineStr">
        <is>
          <t>2 — Sessions</t>
        </is>
      </c>
      <c r="C165" t="n">
        <v>43</v>
      </c>
      <c r="D165" t="inlineStr">
        <is>
          <t>Add Session — Mode × Asset Class Matrix</t>
        </is>
      </c>
      <c r="E165" t="inlineStr">
        <is>
          <t>Configuration</t>
        </is>
      </c>
      <c r="F165" t="inlineStr">
        <is>
          <t>P2</t>
        </is>
      </c>
      <c r="G165" t="inlineStr">
        <is>
          <t>Create session: trading mode **prop**, asset class **Crypto**.</t>
        </is>
      </c>
      <c r="H165" t="inlineStr">
        <is>
          <t>prop+Crypto</t>
        </is>
      </c>
      <c r="I165" t="inlineStr">
        <is>
          <t>Modal saves; session card shows correct mode+asset; chart loads symbol from class.</t>
        </is>
      </c>
      <c r="J165" t="inlineStr">
        <is>
          <t>— Not tested</t>
        </is>
      </c>
      <c r="K165" t="inlineStr">
        <is>
          <t>— Not tested</t>
        </is>
      </c>
      <c r="L165" t="inlineStr">
        <is>
          <t>— Not tested</t>
        </is>
      </c>
    </row>
    <row r="166">
      <c r="A166" t="n">
        <v>493</v>
      </c>
      <c r="B166" t="inlineStr">
        <is>
          <t>2 — Sessions</t>
        </is>
      </c>
      <c r="C166" t="n">
        <v>49</v>
      </c>
      <c r="D166" t="inlineStr">
        <is>
          <t>Abuse &amp; Security Inputs</t>
        </is>
      </c>
      <c r="E166" t="inlineStr">
        <is>
          <t>Extreme</t>
        </is>
      </c>
      <c r="F166" t="inlineStr">
        <is>
          <t>P0</t>
        </is>
      </c>
      <c r="G166" t="inlineStr">
        <is>
          <t>Session name script tag</t>
        </is>
      </c>
      <c r="H166" t="inlineStr">
        <is>
          <t>&lt;script&gt;alert(1)&lt;/script&gt;</t>
        </is>
      </c>
      <c r="I166" t="inlineStr">
        <is>
          <t>Safe display in list.</t>
        </is>
      </c>
      <c r="J166" t="inlineStr">
        <is>
          <t>— Not tested</t>
        </is>
      </c>
      <c r="K166" t="inlineStr">
        <is>
          <t>— Not tested</t>
        </is>
      </c>
      <c r="L166" t="inlineStr">
        <is>
          <t>— Not tested</t>
        </is>
      </c>
    </row>
    <row r="167">
      <c r="A167" t="n">
        <v>494</v>
      </c>
      <c r="B167" t="inlineStr">
        <is>
          <t>2 — Sessions</t>
        </is>
      </c>
      <c r="C167" t="n">
        <v>49</v>
      </c>
      <c r="D167" t="inlineStr">
        <is>
          <t>Abuse &amp; Security Inputs</t>
        </is>
      </c>
      <c r="E167" t="inlineStr">
        <is>
          <t>Extreme</t>
        </is>
      </c>
      <c r="F167" t="inlineStr">
        <is>
          <t>P1</t>
        </is>
      </c>
      <c r="G167" t="inlineStr">
        <is>
          <t>Capital field paste letters</t>
        </is>
      </c>
      <c r="H167" t="inlineStr">
        <is>
          <t>abc</t>
        </is>
      </c>
      <c r="I167" t="inlineStr">
        <is>
          <t>Rejected or ignored.</t>
        </is>
      </c>
      <c r="J167" t="inlineStr">
        <is>
          <t>— Not tested</t>
        </is>
      </c>
      <c r="K167" t="inlineStr">
        <is>
          <t>— Not tested</t>
        </is>
      </c>
      <c r="L167" t="inlineStr">
        <is>
          <t>— Not tested</t>
        </is>
      </c>
    </row>
    <row r="168">
      <c r="A168" t="n">
        <v>495</v>
      </c>
      <c r="B168" t="inlineStr">
        <is>
          <t>2 — Sessions</t>
        </is>
      </c>
      <c r="C168" t="n">
        <v>49</v>
      </c>
      <c r="D168" t="inlineStr">
        <is>
          <t>Abuse &amp; Security Inputs</t>
        </is>
      </c>
      <c r="E168" t="inlineStr">
        <is>
          <t>Extreme</t>
        </is>
      </c>
      <c r="F168" t="inlineStr">
        <is>
          <t>P2</t>
        </is>
      </c>
      <c r="G168" t="inlineStr">
        <is>
          <t>Capital field paste huge number</t>
        </is>
      </c>
      <c r="H168" t="inlineStr">
        <is>
          <t>999999999999</t>
        </is>
      </c>
      <c r="I168" t="inlineStr">
        <is>
          <t>Capped or accepted with warning.</t>
        </is>
      </c>
      <c r="J168" t="inlineStr">
        <is>
          <t>— Not tested</t>
        </is>
      </c>
      <c r="K168" t="inlineStr">
        <is>
          <t>— Not tested</t>
        </is>
      </c>
      <c r="L168" t="inlineStr">
        <is>
          <t>— Not tested</t>
        </is>
      </c>
    </row>
    <row r="169">
      <c r="A169" t="n">
        <v>499</v>
      </c>
      <c r="B169" t="inlineStr">
        <is>
          <t>2 — Sessions</t>
        </is>
      </c>
      <c r="C169" t="n">
        <v>50</v>
      </c>
      <c r="D169" t="inlineStr">
        <is>
          <t>Responsive Layout — Sessions</t>
        </is>
      </c>
      <c r="E169" t="inlineStr">
        <is>
          <t>Structure</t>
        </is>
      </c>
      <c r="F169" t="inlineStr">
        <is>
          <t>P2</t>
        </is>
      </c>
      <c r="G169" t="inlineStr">
        <is>
          <t>Sessions page at **2560px**.</t>
        </is>
      </c>
      <c r="H169" t="inlineStr">
        <is>
          <t>2560px</t>
        </is>
      </c>
      <c r="I169" t="inlineStr">
        <is>
          <t>Stats dashboard + list usable.</t>
        </is>
      </c>
      <c r="J169" t="inlineStr">
        <is>
          <t>— Not tested</t>
        </is>
      </c>
      <c r="K169" t="inlineStr">
        <is>
          <t>— Not tested</t>
        </is>
      </c>
      <c r="L169" t="inlineStr">
        <is>
          <t>— Not tested</t>
        </is>
      </c>
    </row>
    <row r="170">
      <c r="A170" t="n">
        <v>503</v>
      </c>
      <c r="B170" t="inlineStr">
        <is>
          <t>2 — Sessions</t>
        </is>
      </c>
      <c r="C170" t="n">
        <v>50</v>
      </c>
      <c r="D170" t="inlineStr">
        <is>
          <t>Responsive Layout — Sessions</t>
        </is>
      </c>
      <c r="E170" t="inlineStr">
        <is>
          <t>Structure</t>
        </is>
      </c>
      <c r="F170" t="inlineStr">
        <is>
          <t>P2</t>
        </is>
      </c>
      <c r="G170" t="inlineStr">
        <is>
          <t>Sessions page at **1920px**.</t>
        </is>
      </c>
      <c r="H170" t="inlineStr">
        <is>
          <t>1920px</t>
        </is>
      </c>
      <c r="I170" t="inlineStr">
        <is>
          <t>Stats dashboard + list usable.</t>
        </is>
      </c>
      <c r="J170" t="inlineStr">
        <is>
          <t>— Not tested</t>
        </is>
      </c>
      <c r="K170" t="inlineStr">
        <is>
          <t>— Not tested</t>
        </is>
      </c>
      <c r="L170" t="inlineStr">
        <is>
          <t>— Not tested</t>
        </is>
      </c>
    </row>
    <row r="171">
      <c r="A171" t="n">
        <v>507</v>
      </c>
      <c r="B171" t="inlineStr">
        <is>
          <t>2 — Sessions</t>
        </is>
      </c>
      <c r="C171" t="n">
        <v>50</v>
      </c>
      <c r="D171" t="inlineStr">
        <is>
          <t>Responsive Layout — Sessions</t>
        </is>
      </c>
      <c r="E171" t="inlineStr">
        <is>
          <t>Structure</t>
        </is>
      </c>
      <c r="F171" t="inlineStr">
        <is>
          <t>P2</t>
        </is>
      </c>
      <c r="G171" t="inlineStr">
        <is>
          <t>Sessions page at **1440px**.</t>
        </is>
      </c>
      <c r="H171" t="inlineStr">
        <is>
          <t>1440px</t>
        </is>
      </c>
      <c r="I171" t="inlineStr">
        <is>
          <t>Stats dashboard + list usable.</t>
        </is>
      </c>
      <c r="J171" t="inlineStr">
        <is>
          <t>— Not tested</t>
        </is>
      </c>
      <c r="K171" t="inlineStr">
        <is>
          <t>— Not tested</t>
        </is>
      </c>
      <c r="L171" t="inlineStr">
        <is>
          <t>— Not tested</t>
        </is>
      </c>
    </row>
    <row r="172">
      <c r="A172" t="n">
        <v>511</v>
      </c>
      <c r="B172" t="inlineStr">
        <is>
          <t>2 — Sessions</t>
        </is>
      </c>
      <c r="C172" t="n">
        <v>50</v>
      </c>
      <c r="D172" t="inlineStr">
        <is>
          <t>Responsive Layout — Sessions</t>
        </is>
      </c>
      <c r="E172" t="inlineStr">
        <is>
          <t>Structure</t>
        </is>
      </c>
      <c r="F172" t="inlineStr">
        <is>
          <t>P2</t>
        </is>
      </c>
      <c r="G172" t="inlineStr">
        <is>
          <t>Sessions page at **1280px**.</t>
        </is>
      </c>
      <c r="H172" t="inlineStr">
        <is>
          <t>1280px</t>
        </is>
      </c>
      <c r="I172" t="inlineStr">
        <is>
          <t>Stats dashboard + list usable.</t>
        </is>
      </c>
      <c r="J172" t="inlineStr">
        <is>
          <t>— Not tested</t>
        </is>
      </c>
      <c r="K172" t="inlineStr">
        <is>
          <t>— Not tested</t>
        </is>
      </c>
      <c r="L172" t="inlineStr">
        <is>
          <t>— Not tested</t>
        </is>
      </c>
    </row>
    <row r="173">
      <c r="A173" t="n">
        <v>515</v>
      </c>
      <c r="B173" t="inlineStr">
        <is>
          <t>2 — Sessions</t>
        </is>
      </c>
      <c r="C173" t="n">
        <v>50</v>
      </c>
      <c r="D173" t="inlineStr">
        <is>
          <t>Responsive Layout — Sessions</t>
        </is>
      </c>
      <c r="E173" t="inlineStr">
        <is>
          <t>Structure</t>
        </is>
      </c>
      <c r="F173" t="inlineStr">
        <is>
          <t>P2</t>
        </is>
      </c>
      <c r="G173" t="inlineStr">
        <is>
          <t>Sessions page at **1024px**.</t>
        </is>
      </c>
      <c r="H173" t="inlineStr">
        <is>
          <t>1024px</t>
        </is>
      </c>
      <c r="I173" t="inlineStr">
        <is>
          <t>Stats dashboard + list usable.</t>
        </is>
      </c>
      <c r="J173" t="inlineStr">
        <is>
          <t>— Not tested</t>
        </is>
      </c>
      <c r="K173" t="inlineStr">
        <is>
          <t>— Not tested</t>
        </is>
      </c>
      <c r="L173" t="inlineStr">
        <is>
          <t>— Not tested</t>
        </is>
      </c>
    </row>
    <row r="174">
      <c r="A174" t="n">
        <v>518</v>
      </c>
      <c r="B174" t="inlineStr">
        <is>
          <t>2 — Sessions</t>
        </is>
      </c>
      <c r="C174" t="n">
        <v>51</v>
      </c>
      <c r="D174" t="inlineStr">
        <is>
          <t>Add Session — Toggle Disabled States</t>
        </is>
      </c>
      <c r="E174" t="inlineStr">
        <is>
          <t>Structure</t>
        </is>
      </c>
      <c r="F174" t="inlineStr">
        <is>
          <t>P2</t>
        </is>
      </c>
      <c r="G174" t="inlineStr">
        <is>
          <t>P1 min days OFF → input grayed.</t>
        </is>
      </c>
      <c r="H174" t="inlineStr">
        <is>
          <t>sessP1MinDaysEnabled=false</t>
        </is>
      </c>
      <c r="I174" t="inlineStr">
        <is>
          <t>Cannot edit min days.</t>
        </is>
      </c>
      <c r="J174" t="inlineStr">
        <is>
          <t>— Not tested</t>
        </is>
      </c>
      <c r="K174" t="inlineStr">
        <is>
          <t>— Not tested</t>
        </is>
      </c>
      <c r="L174" t="inlineStr">
        <is>
          <t>— Not tested</t>
        </is>
      </c>
    </row>
    <row r="175">
      <c r="A175" t="n">
        <v>519</v>
      </c>
      <c r="B175" t="inlineStr">
        <is>
          <t>2 — Sessions</t>
        </is>
      </c>
      <c r="C175" t="n">
        <v>51</v>
      </c>
      <c r="D175" t="inlineStr">
        <is>
          <t>Add Session — Toggle Disabled States</t>
        </is>
      </c>
      <c r="E175" t="inlineStr">
        <is>
          <t>Structure</t>
        </is>
      </c>
      <c r="F175" t="inlineStr">
        <is>
          <t>P2</t>
        </is>
      </c>
      <c r="G175" t="inlineStr">
        <is>
          <t>P2 min days OFF.</t>
        </is>
      </c>
      <c r="H175" t="inlineStr">
        <is>
          <t>phase 2</t>
        </is>
      </c>
      <c r="I175" t="inlineStr">
        <is>
          <t>Same.</t>
        </is>
      </c>
      <c r="J175" t="inlineStr">
        <is>
          <t>— Not tested</t>
        </is>
      </c>
      <c r="K175" t="inlineStr">
        <is>
          <t>— Not tested</t>
        </is>
      </c>
      <c r="L175" t="inlineStr">
        <is>
          <t>— Not tested</t>
        </is>
      </c>
    </row>
    <row r="176">
      <c r="A176" t="n">
        <v>520</v>
      </c>
      <c r="B176" t="inlineStr">
        <is>
          <t>2 — Sessions</t>
        </is>
      </c>
      <c r="C176" t="n">
        <v>51</v>
      </c>
      <c r="D176" t="inlineStr">
        <is>
          <t>Add Session — Toggle Disabled States</t>
        </is>
      </c>
      <c r="E176" t="inlineStr">
        <is>
          <t>Structure</t>
        </is>
      </c>
      <c r="F176" t="inlineStr">
        <is>
          <t>P2</t>
        </is>
      </c>
      <c r="G176" t="inlineStr">
        <is>
          <t>Consistency rule OFF → % grayed.</t>
        </is>
      </c>
      <c r="H176" t="inlineStr">
        <is>
          <t>—</t>
        </is>
      </c>
      <c r="I176" t="inlineStr">
        <is>
          <t>Field disabled.</t>
        </is>
      </c>
      <c r="J176" t="inlineStr">
        <is>
          <t>— Not tested</t>
        </is>
      </c>
      <c r="K176" t="inlineStr">
        <is>
          <t>— Not tested</t>
        </is>
      </c>
      <c r="L176" t="inlineStr">
        <is>
          <t>— Not tested</t>
        </is>
      </c>
    </row>
    <row r="177">
      <c r="A177" t="n">
        <v>521</v>
      </c>
      <c r="B177" t="inlineStr">
        <is>
          <t>2 — Sessions</t>
        </is>
      </c>
      <c r="C177" t="n">
        <v>51</v>
      </c>
      <c r="D177" t="inlineStr">
        <is>
          <t>Add Session — Toggle Disabled States</t>
        </is>
      </c>
      <c r="E177" t="inlineStr">
        <is>
          <t>Structure</t>
        </is>
      </c>
      <c r="F177" t="inlineStr">
        <is>
          <t>P2</t>
        </is>
      </c>
      <c r="G177" t="inlineStr">
        <is>
          <t>Max contracts OFF.</t>
        </is>
      </c>
      <c r="H177" t="inlineStr">
        <is>
          <t>—</t>
        </is>
      </c>
      <c r="I177" t="inlineStr">
        <is>
          <t>Contracts input disabled.</t>
        </is>
      </c>
      <c r="J177" t="inlineStr">
        <is>
          <t>— Not tested</t>
        </is>
      </c>
      <c r="K177" t="inlineStr">
        <is>
          <t>— Not tested</t>
        </is>
      </c>
      <c r="L177" t="inlineStr">
        <is>
          <t>— Not tested</t>
        </is>
      </c>
    </row>
    <row r="178">
      <c r="A178" t="n">
        <v>522</v>
      </c>
      <c r="B178" t="inlineStr">
        <is>
          <t>2 — Sessions</t>
        </is>
      </c>
      <c r="C178" t="n">
        <v>51</v>
      </c>
      <c r="D178" t="inlineStr">
        <is>
          <t>Add Session — Toggle Disabled States</t>
        </is>
      </c>
      <c r="E178" t="inlineStr">
        <is>
          <t>Structure</t>
        </is>
      </c>
      <c r="F178" t="inlineStr">
        <is>
          <t>P2</t>
        </is>
      </c>
      <c r="G178" t="inlineStr">
        <is>
          <t>Max lots OFF.</t>
        </is>
      </c>
      <c r="H178" t="inlineStr">
        <is>
          <t>—</t>
        </is>
      </c>
      <c r="I178" t="inlineStr">
        <is>
          <t>Lots input disabled.</t>
        </is>
      </c>
      <c r="J178" t="inlineStr">
        <is>
          <t>— Not tested</t>
        </is>
      </c>
      <c r="K178" t="inlineStr">
        <is>
          <t>— Not tested</t>
        </is>
      </c>
      <c r="L178" t="inlineStr">
        <is>
          <t>— Not tested</t>
        </is>
      </c>
    </row>
    <row r="179">
      <c r="A179" t="n">
        <v>523</v>
      </c>
      <c r="B179" t="inlineStr">
        <is>
          <t>2 — Sessions</t>
        </is>
      </c>
      <c r="C179" t="n">
        <v>51</v>
      </c>
      <c r="D179" t="inlineStr">
        <is>
          <t>Add Session — Toggle Disabled States</t>
        </is>
      </c>
      <c r="E179" t="inlineStr">
        <is>
          <t>Structure</t>
        </is>
      </c>
      <c r="F179" t="inlineStr">
        <is>
          <t>P2</t>
        </is>
      </c>
      <c r="G179" t="inlineStr">
        <is>
          <t>MFE/MAE OFF → hours field disabled.</t>
        </is>
      </c>
      <c r="H179" t="inlineStr">
        <is>
          <t>—</t>
        </is>
      </c>
      <c r="I179" t="inlineStr">
        <is>
          <t>Grayed out.</t>
        </is>
      </c>
      <c r="J179" t="inlineStr">
        <is>
          <t>— Not tested</t>
        </is>
      </c>
      <c r="K179" t="inlineStr">
        <is>
          <t>— Not tested</t>
        </is>
      </c>
      <c r="L179" t="inlineStr">
        <is>
          <t>— Not tested</t>
        </is>
      </c>
    </row>
    <row r="180">
      <c r="A180" t="n">
        <v>524</v>
      </c>
      <c r="B180" t="inlineStr">
        <is>
          <t>2 — Sessions</t>
        </is>
      </c>
      <c r="C180" t="n">
        <v>51</v>
      </c>
      <c r="D180" t="inlineStr">
        <is>
          <t>Add Session — Toggle Disabled States</t>
        </is>
      </c>
      <c r="E180" t="inlineStr">
        <is>
          <t>Structure</t>
        </is>
      </c>
      <c r="F180" t="inlineStr">
        <is>
          <t>P2</t>
        </is>
      </c>
      <c r="G180" t="inlineStr">
        <is>
          <t>Supporting tickers OFF → picker hidden.</t>
        </is>
      </c>
      <c r="H180" t="inlineStr">
        <is>
          <t>—</t>
        </is>
      </c>
      <c r="I180" t="inlineStr">
        <is>
          <t>Section collapsed.</t>
        </is>
      </c>
      <c r="J180" t="inlineStr">
        <is>
          <t>— Not tested</t>
        </is>
      </c>
      <c r="K180" t="inlineStr">
        <is>
          <t>— Not tested</t>
        </is>
      </c>
      <c r="L180" t="inlineStr">
        <is>
          <t>— Not tested</t>
        </is>
      </c>
    </row>
    <row r="181">
      <c r="A181" t="n">
        <v>525</v>
      </c>
      <c r="B181" t="inlineStr">
        <is>
          <t>2 — Sessions</t>
        </is>
      </c>
      <c r="C181" t="n">
        <v>51</v>
      </c>
      <c r="D181" t="inlineStr">
        <is>
          <t>Add Session — Toggle Disabled States</t>
        </is>
      </c>
      <c r="E181" t="inlineStr">
        <is>
          <t>Structure</t>
        </is>
      </c>
      <c r="F181" t="inlineStr">
        <is>
          <t>P2</t>
        </is>
      </c>
      <c r="G181" t="inlineStr">
        <is>
          <t>Trading costs OFF → per-class overrides hidden.</t>
        </is>
      </c>
      <c r="H181" t="inlineStr">
        <is>
          <t>—</t>
        </is>
      </c>
      <c r="I181" t="inlineStr">
        <is>
          <t>Section collapsed.</t>
        </is>
      </c>
      <c r="J181" t="inlineStr">
        <is>
          <t>— Not tested</t>
        </is>
      </c>
      <c r="K181" t="inlineStr">
        <is>
          <t>— Not tested</t>
        </is>
      </c>
      <c r="L181" t="inlineStr">
        <is>
          <t>— Not tested</t>
        </is>
      </c>
    </row>
  </sheetData>
  <dataValidations count="2">
    <dataValidation sqref="J2:K181" showDropDown="0" showInputMessage="0" showErrorMessage="0" allowBlank="1" type="list">
      <formula1>"☑ Pass,☐ Fail,⚠ Partial,— Not tested"</formula1>
    </dataValidation>
    <dataValidation sqref="L2:L181" showDropDown="0" showInputMessage="0" showErrorMessage="0" allowBlank="1" type="list">
      <formula1>"☑ Yes,☐ No,— Not tested"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6" customWidth="1" min="3" max="3"/>
    <col width="26" customWidth="1" min="4" max="4"/>
    <col width="14" customWidth="1" min="5" max="5"/>
    <col width="7" customWidth="1" min="6" max="6"/>
    <col width="48" customWidth="1" min="7" max="7"/>
    <col width="22" customWidth="1" min="8" max="8"/>
    <col width="38" customWidth="1" min="9" max="9"/>
    <col width="12" customWidth="1" min="10" max="10"/>
    <col width="12" customWidth="1" min="11" max="11"/>
    <col width="9" customWidth="1" min="12" max="12"/>
    <col width="32" customWidth="1" min="13" max="13"/>
  </cols>
  <sheetData>
    <row r="1">
      <c r="A1" s="11" t="inlineStr">
        <is>
          <t>Step #</t>
        </is>
      </c>
      <c r="B1" s="11" t="inlineStr">
        <is>
          <t>Section</t>
        </is>
      </c>
      <c r="C1" s="11" t="inlineStr">
        <is>
          <t>Phase</t>
        </is>
      </c>
      <c r="D1" s="11" t="inlineStr">
        <is>
          <t>Phase Name</t>
        </is>
      </c>
      <c r="E1" s="11" t="inlineStr">
        <is>
          <t>Category</t>
        </is>
      </c>
      <c r="F1" s="11" t="inlineStr">
        <is>
          <t>Priority</t>
        </is>
      </c>
      <c r="G1" s="11" t="inlineStr">
        <is>
          <t>What to Do</t>
        </is>
      </c>
      <c r="H1" s="11" t="inlineStr">
        <is>
          <t>Test Input</t>
        </is>
      </c>
      <c r="I1" s="11" t="inlineStr">
        <is>
          <t>Expected Result</t>
        </is>
      </c>
      <c r="J1" s="11" t="inlineStr">
        <is>
          <t>Tester A</t>
        </is>
      </c>
      <c r="K1" s="11" t="inlineStr">
        <is>
          <t>Tester B</t>
        </is>
      </c>
      <c r="L1" s="11" t="inlineStr">
        <is>
          <t>Issue?</t>
        </is>
      </c>
      <c r="M1" s="11" t="inlineStr">
        <is>
          <t>Comments</t>
        </is>
      </c>
    </row>
    <row r="2">
      <c r="A2" t="n">
        <v>286</v>
      </c>
      <c r="B2" t="inlineStr">
        <is>
          <t>3 — Trades</t>
        </is>
      </c>
      <c r="C2" t="n">
        <v>25</v>
      </c>
      <c r="D2" t="inlineStr">
        <is>
          <t>Trades Page — Shell &amp; Header</t>
        </is>
      </c>
      <c r="E2" t="inlineStr">
        <is>
          <t>Structure</t>
        </is>
      </c>
      <c r="F2" t="inlineStr">
        <is>
          <t>P0</t>
        </is>
      </c>
      <c r="G2" t="inlineStr">
        <is>
          <t>Open Trades via left nav.</t>
        </is>
      </c>
      <c r="H2" t="inlineStr">
        <is>
          <t>—</t>
        </is>
      </c>
      <c r="I2" t="inlineStr">
        <is>
          <t>Trade table visible.</t>
        </is>
      </c>
      <c r="J2" t="inlineStr">
        <is>
          <t>— Not tested</t>
        </is>
      </c>
      <c r="K2" t="inlineStr">
        <is>
          <t>— Not tested</t>
        </is>
      </c>
      <c r="L2" t="inlineStr">
        <is>
          <t>— Not tested</t>
        </is>
      </c>
    </row>
    <row r="3">
      <c r="A3" t="n">
        <v>287</v>
      </c>
      <c r="B3" t="inlineStr">
        <is>
          <t>3 — Trades</t>
        </is>
      </c>
      <c r="C3" t="n">
        <v>25</v>
      </c>
      <c r="D3" t="inlineStr">
        <is>
          <t>Trades Page — Shell &amp; Header</t>
        </is>
      </c>
      <c r="E3" t="inlineStr">
        <is>
          <t>Structure</t>
        </is>
      </c>
      <c r="F3" t="inlineStr">
        <is>
          <t>P0</t>
        </is>
      </c>
      <c r="G3" t="inlineStr">
        <is>
          <t>Source switcher shows active source label.</t>
        </is>
      </c>
      <c r="H3" t="inlineStr">
        <is>
          <t>—</t>
        </is>
      </c>
      <c r="I3" t="inlineStr">
        <is>
          <t>Matches applied source.</t>
        </is>
      </c>
      <c r="J3" t="inlineStr">
        <is>
          <t>— Not tested</t>
        </is>
      </c>
      <c r="K3" t="inlineStr">
        <is>
          <t>— Not tested</t>
        </is>
      </c>
      <c r="L3" t="inlineStr">
        <is>
          <t>— Not tested</t>
        </is>
      </c>
    </row>
    <row r="4">
      <c r="A4" t="n">
        <v>288</v>
      </c>
      <c r="B4" t="inlineStr">
        <is>
          <t>3 — Trades</t>
        </is>
      </c>
      <c r="C4" t="n">
        <v>25</v>
      </c>
      <c r="D4" t="inlineStr">
        <is>
          <t>Trades Page — Shell &amp; Header</t>
        </is>
      </c>
      <c r="E4" t="inlineStr">
        <is>
          <t>Structure</t>
        </is>
      </c>
      <c r="F4" t="inlineStr">
        <is>
          <t>P1</t>
        </is>
      </c>
      <c r="G4" t="inlineStr">
        <is>
          <t>With no source applied, note empty state.</t>
        </is>
      </c>
      <c r="H4" t="inlineStr">
        <is>
          <t>—</t>
        </is>
      </c>
      <c r="I4" t="inlineStr">
        <is>
          <t>Prompt to select source or empty table.</t>
        </is>
      </c>
      <c r="J4" t="inlineStr">
        <is>
          <t>— Not tested</t>
        </is>
      </c>
      <c r="K4" t="inlineStr">
        <is>
          <t>— Not tested</t>
        </is>
      </c>
      <c r="L4" t="inlineStr">
        <is>
          <t>— Not tested</t>
        </is>
      </c>
    </row>
    <row r="5">
      <c r="A5" t="n">
        <v>289</v>
      </c>
      <c r="B5" t="inlineStr">
        <is>
          <t>3 — Trades</t>
        </is>
      </c>
      <c r="C5" t="n">
        <v>26</v>
      </c>
      <c r="D5" t="inlineStr">
        <is>
          <t>Trades — Filters, Import, Export, Compare</t>
        </is>
      </c>
      <c r="E5" t="inlineStr">
        <is>
          <t>Configuration</t>
        </is>
      </c>
      <c r="F5" t="inlineStr">
        <is>
          <t>P0</t>
        </is>
      </c>
      <c r="G5" t="inlineStr">
        <is>
          <t>Open Filters panel.</t>
        </is>
      </c>
      <c r="H5" t="inlineStr">
        <is>
          <t>—</t>
        </is>
      </c>
      <c r="I5" t="inlineStr">
        <is>
          <t>Date, scope, tags, outcome, privacy options.</t>
        </is>
      </c>
      <c r="J5" t="inlineStr">
        <is>
          <t>— Not tested</t>
        </is>
      </c>
      <c r="K5" t="inlineStr">
        <is>
          <t>— Not tested</t>
        </is>
      </c>
      <c r="L5" t="inlineStr">
        <is>
          <t>— Not tested</t>
        </is>
      </c>
    </row>
    <row r="6">
      <c r="A6" t="n">
        <v>290</v>
      </c>
      <c r="B6" t="inlineStr">
        <is>
          <t>3 — Trades</t>
        </is>
      </c>
      <c r="C6" t="n">
        <v>26</v>
      </c>
      <c r="D6" t="inlineStr">
        <is>
          <t>Trades — Filters, Import, Export, Compare</t>
        </is>
      </c>
      <c r="E6" t="inlineStr">
        <is>
          <t>Configuration</t>
        </is>
      </c>
      <c r="F6" t="inlineStr">
        <is>
          <t>P1</t>
        </is>
      </c>
      <c r="G6" t="inlineStr">
        <is>
          <t>Filter date range: last 30 days.</t>
        </is>
      </c>
      <c r="H6" t="inlineStr">
        <is>
          <t>30d</t>
        </is>
      </c>
      <c r="I6" t="inlineStr">
        <is>
          <t>Table filters.</t>
        </is>
      </c>
      <c r="J6" t="inlineStr">
        <is>
          <t>— Not tested</t>
        </is>
      </c>
      <c r="K6" t="inlineStr">
        <is>
          <t>— Not tested</t>
        </is>
      </c>
      <c r="L6" t="inlineStr">
        <is>
          <t>— Not tested</t>
        </is>
      </c>
    </row>
    <row r="7">
      <c r="A7" t="n">
        <v>291</v>
      </c>
      <c r="B7" t="inlineStr">
        <is>
          <t>3 — Trades</t>
        </is>
      </c>
      <c r="C7" t="n">
        <v>26</v>
      </c>
      <c r="D7" t="inlineStr">
        <is>
          <t>Trades — Filters, Import, Export, Compare</t>
        </is>
      </c>
      <c r="E7" t="inlineStr">
        <is>
          <t>Configuration</t>
        </is>
      </c>
      <c r="F7" t="inlineStr">
        <is>
          <t>P2</t>
        </is>
      </c>
      <c r="G7" t="inlineStr">
        <is>
          <t>Filter date range: custom 1 day.</t>
        </is>
      </c>
      <c r="H7" t="inlineStr">
        <is>
          <t>1 day</t>
        </is>
      </c>
      <c r="I7" t="inlineStr">
        <is>
          <t>Narrow results.</t>
        </is>
      </c>
      <c r="J7" t="inlineStr">
        <is>
          <t>— Not tested</t>
        </is>
      </c>
      <c r="K7" t="inlineStr">
        <is>
          <t>— Not tested</t>
        </is>
      </c>
      <c r="L7" t="inlineStr">
        <is>
          <t>— Not tested</t>
        </is>
      </c>
    </row>
    <row r="8">
      <c r="A8" t="n">
        <v>292</v>
      </c>
      <c r="B8" t="inlineStr">
        <is>
          <t>3 — Trades</t>
        </is>
      </c>
      <c r="C8" t="n">
        <v>26</v>
      </c>
      <c r="D8" t="inlineStr">
        <is>
          <t>Trades — Filters, Import, Export, Compare</t>
        </is>
      </c>
      <c r="E8" t="inlineStr">
        <is>
          <t>Configuration</t>
        </is>
      </c>
      <c r="F8" t="inlineStr">
        <is>
          <t>P1</t>
        </is>
      </c>
      <c r="G8" t="inlineStr">
        <is>
          <t>Filter by outcome: winners only.</t>
        </is>
      </c>
      <c r="H8" t="inlineStr">
        <is>
          <t>winners</t>
        </is>
      </c>
      <c r="I8" t="inlineStr">
        <is>
          <t>Only positive P&amp;L rows.</t>
        </is>
      </c>
      <c r="J8" t="inlineStr">
        <is>
          <t>— Not tested</t>
        </is>
      </c>
      <c r="K8" t="inlineStr">
        <is>
          <t>— Not tested</t>
        </is>
      </c>
      <c r="L8" t="inlineStr">
        <is>
          <t>— Not tested</t>
        </is>
      </c>
    </row>
    <row r="9">
      <c r="A9" t="n">
        <v>293</v>
      </c>
      <c r="B9" t="inlineStr">
        <is>
          <t>3 — Trades</t>
        </is>
      </c>
      <c r="C9" t="n">
        <v>26</v>
      </c>
      <c r="D9" t="inlineStr">
        <is>
          <t>Trades — Filters, Import, Export, Compare</t>
        </is>
      </c>
      <c r="E9" t="inlineStr">
        <is>
          <t>Configuration</t>
        </is>
      </c>
      <c r="F9" t="inlineStr">
        <is>
          <t>P1</t>
        </is>
      </c>
      <c r="G9" t="inlineStr">
        <is>
          <t>Filter by outcome: losers only.</t>
        </is>
      </c>
      <c r="H9" t="inlineStr">
        <is>
          <t>losers</t>
        </is>
      </c>
      <c r="I9" t="inlineStr">
        <is>
          <t>Only negative P&amp;L.</t>
        </is>
      </c>
      <c r="J9" t="inlineStr">
        <is>
          <t>— Not tested</t>
        </is>
      </c>
      <c r="K9" t="inlineStr">
        <is>
          <t>— Not tested</t>
        </is>
      </c>
      <c r="L9" t="inlineStr">
        <is>
          <t>— Not tested</t>
        </is>
      </c>
    </row>
    <row r="10">
      <c r="A10" t="n">
        <v>294</v>
      </c>
      <c r="B10" t="inlineStr">
        <is>
          <t>3 — Trades</t>
        </is>
      </c>
      <c r="C10" t="n">
        <v>26</v>
      </c>
      <c r="D10" t="inlineStr">
        <is>
          <t>Trades — Filters, Import, Export, Compare</t>
        </is>
      </c>
      <c r="E10" t="inlineStr">
        <is>
          <t>Configuration</t>
        </is>
      </c>
      <c r="F10" t="inlineStr">
        <is>
          <t>P2</t>
        </is>
      </c>
      <c r="G10" t="inlineStr">
        <is>
          <t>Combine 3 filters simultaneously.</t>
        </is>
      </c>
      <c r="H10" t="inlineStr">
        <is>
          <t>multi</t>
        </is>
      </c>
      <c r="I10" t="inlineStr">
        <is>
          <t>Intersection correct.</t>
        </is>
      </c>
      <c r="J10" t="inlineStr">
        <is>
          <t>— Not tested</t>
        </is>
      </c>
      <c r="K10" t="inlineStr">
        <is>
          <t>— Not tested</t>
        </is>
      </c>
      <c r="L10" t="inlineStr">
        <is>
          <t>— Not tested</t>
        </is>
      </c>
    </row>
    <row r="11">
      <c r="A11" t="n">
        <v>295</v>
      </c>
      <c r="B11" t="inlineStr">
        <is>
          <t>3 — Trades</t>
        </is>
      </c>
      <c r="C11" t="n">
        <v>26</v>
      </c>
      <c r="D11" t="inlineStr">
        <is>
          <t>Trades — Filters, Import, Export, Compare</t>
        </is>
      </c>
      <c r="E11" t="inlineStr">
        <is>
          <t>Configuration</t>
        </is>
      </c>
      <c r="F11" t="inlineStr">
        <is>
          <t>P1</t>
        </is>
      </c>
      <c r="G11" t="inlineStr">
        <is>
          <t>Clear all filters.</t>
        </is>
      </c>
      <c r="H11" t="inlineStr">
        <is>
          <t>—</t>
        </is>
      </c>
      <c r="I11" t="inlineStr">
        <is>
          <t>Full list returns.</t>
        </is>
      </c>
      <c r="J11" t="inlineStr">
        <is>
          <t>— Not tested</t>
        </is>
      </c>
      <c r="K11" t="inlineStr">
        <is>
          <t>— Not tested</t>
        </is>
      </c>
      <c r="L11" t="inlineStr">
        <is>
          <t>— Not tested</t>
        </is>
      </c>
    </row>
    <row r="12">
      <c r="A12" t="n">
        <v>296</v>
      </c>
      <c r="B12" t="inlineStr">
        <is>
          <t>3 — Trades</t>
        </is>
      </c>
      <c r="C12" t="n">
        <v>26</v>
      </c>
      <c r="D12" t="inlineStr">
        <is>
          <t>Trades — Filters, Import, Export, Compare</t>
        </is>
      </c>
      <c r="E12" t="inlineStr">
        <is>
          <t>Configuration</t>
        </is>
      </c>
      <c r="F12" t="inlineStr">
        <is>
          <t>P0</t>
        </is>
      </c>
      <c r="G12" t="inlineStr">
        <is>
          <t>Export CSV with trades.</t>
        </is>
      </c>
      <c r="H12" t="inlineStr">
        <is>
          <t>—</t>
        </is>
      </c>
      <c r="I12" t="inlineStr">
        <is>
          <t>File downloads with correct columns.</t>
        </is>
      </c>
      <c r="J12" t="inlineStr">
        <is>
          <t>— Not tested</t>
        </is>
      </c>
      <c r="K12" t="inlineStr">
        <is>
          <t>— Not tested</t>
        </is>
      </c>
      <c r="L12" t="inlineStr">
        <is>
          <t>— Not tested</t>
        </is>
      </c>
    </row>
    <row r="13">
      <c r="A13" t="n">
        <v>297</v>
      </c>
      <c r="B13" t="inlineStr">
        <is>
          <t>3 — Trades</t>
        </is>
      </c>
      <c r="C13" t="n">
        <v>26</v>
      </c>
      <c r="D13" t="inlineStr">
        <is>
          <t>Trades — Filters, Import, Export, Compare</t>
        </is>
      </c>
      <c r="E13" t="inlineStr">
        <is>
          <t>Configuration</t>
        </is>
      </c>
      <c r="F13" t="inlineStr">
        <is>
          <t>P2</t>
        </is>
      </c>
      <c r="G13" t="inlineStr">
        <is>
          <t>Export with zero trades.</t>
        </is>
      </c>
      <c r="H13" t="inlineStr">
        <is>
          <t>—</t>
        </is>
      </c>
      <c r="I13" t="inlineStr">
        <is>
          <t>Disabled or empty file message.</t>
        </is>
      </c>
      <c r="J13" t="inlineStr">
        <is>
          <t>— Not tested</t>
        </is>
      </c>
      <c r="K13" t="inlineStr">
        <is>
          <t>— Not tested</t>
        </is>
      </c>
      <c r="L13" t="inlineStr">
        <is>
          <t>— Not tested</t>
        </is>
      </c>
    </row>
    <row r="14">
      <c r="A14" t="n">
        <v>298</v>
      </c>
      <c r="B14" t="inlineStr">
        <is>
          <t>3 — Trades</t>
        </is>
      </c>
      <c r="C14" t="n">
        <v>26</v>
      </c>
      <c r="D14" t="inlineStr">
        <is>
          <t>Trades — Filters, Import, Export, Compare</t>
        </is>
      </c>
      <c r="E14" t="inlineStr">
        <is>
          <t>Configuration</t>
        </is>
      </c>
      <c r="F14" t="inlineStr">
        <is>
          <t>P1</t>
        </is>
      </c>
      <c r="G14" t="inlineStr">
        <is>
          <t>Import valid CSV.</t>
        </is>
      </c>
      <c r="H14" t="inlineStr">
        <is>
          <t>valid template</t>
        </is>
      </c>
      <c r="I14" t="inlineStr">
        <is>
          <t>Trades added; count updates.</t>
        </is>
      </c>
      <c r="J14" t="inlineStr">
        <is>
          <t>— Not tested</t>
        </is>
      </c>
      <c r="K14" t="inlineStr">
        <is>
          <t>— Not tested</t>
        </is>
      </c>
      <c r="L14" t="inlineStr">
        <is>
          <t>— Not tested</t>
        </is>
      </c>
    </row>
    <row r="15">
      <c r="A15" t="n">
        <v>299</v>
      </c>
      <c r="B15" t="inlineStr">
        <is>
          <t>3 — Trades</t>
        </is>
      </c>
      <c r="C15" t="n">
        <v>26</v>
      </c>
      <c r="D15" t="inlineStr">
        <is>
          <t>Trades — Filters, Import, Export, Compare</t>
        </is>
      </c>
      <c r="E15" t="inlineStr">
        <is>
          <t>Configuration</t>
        </is>
      </c>
      <c r="F15" t="inlineStr">
        <is>
          <t>P1</t>
        </is>
      </c>
      <c r="G15" t="inlineStr">
        <is>
          <t>Import malformed CSV.</t>
        </is>
      </c>
      <c r="H15" t="inlineStr">
        <is>
          <t>bad file</t>
        </is>
      </c>
      <c r="I15" t="inlineStr">
        <is>
          <t>Error message; no partial corrupt data.</t>
        </is>
      </c>
      <c r="J15" t="inlineStr">
        <is>
          <t>— Not tested</t>
        </is>
      </c>
      <c r="K15" t="inlineStr">
        <is>
          <t>— Not tested</t>
        </is>
      </c>
      <c r="L15" t="inlineStr">
        <is>
          <t>— Not tested</t>
        </is>
      </c>
    </row>
    <row r="16">
      <c r="A16" t="n">
        <v>300</v>
      </c>
      <c r="B16" t="inlineStr">
        <is>
          <t>3 — Trades</t>
        </is>
      </c>
      <c r="C16" t="n">
        <v>26</v>
      </c>
      <c r="D16" t="inlineStr">
        <is>
          <t>Trades — Filters, Import, Export, Compare</t>
        </is>
      </c>
      <c r="E16" t="inlineStr">
        <is>
          <t>Configuration</t>
        </is>
      </c>
      <c r="F16" t="inlineStr">
        <is>
          <t>P2</t>
        </is>
      </c>
      <c r="G16" t="inlineStr">
        <is>
          <t>Import while trades exist.</t>
        </is>
      </c>
      <c r="H16" t="inlineStr">
        <is>
          <t>—</t>
        </is>
      </c>
      <c r="I16" t="inlineStr">
        <is>
          <t>Merge or duplicate behavior documented.</t>
        </is>
      </c>
      <c r="J16" t="inlineStr">
        <is>
          <t>— Not tested</t>
        </is>
      </c>
      <c r="K16" t="inlineStr">
        <is>
          <t>— Not tested</t>
        </is>
      </c>
      <c r="L16" t="inlineStr">
        <is>
          <t>— Not tested</t>
        </is>
      </c>
    </row>
    <row r="17">
      <c r="A17" t="n">
        <v>301</v>
      </c>
      <c r="B17" t="inlineStr">
        <is>
          <t>3 — Trades</t>
        </is>
      </c>
      <c r="C17" t="n">
        <v>26</v>
      </c>
      <c r="D17" t="inlineStr">
        <is>
          <t>Trades — Filters, Import, Export, Compare</t>
        </is>
      </c>
      <c r="E17" t="inlineStr">
        <is>
          <t>Configuration</t>
        </is>
      </c>
      <c r="F17" t="inlineStr">
        <is>
          <t>P1</t>
        </is>
      </c>
      <c r="G17" t="inlineStr">
        <is>
          <t>Enable Compare mode.</t>
        </is>
      </c>
      <c r="H17" t="inlineStr">
        <is>
          <t>—</t>
        </is>
      </c>
      <c r="I17" t="inlineStr">
        <is>
          <t>Compare UI active.</t>
        </is>
      </c>
      <c r="J17" t="inlineStr">
        <is>
          <t>— Not tested</t>
        </is>
      </c>
      <c r="K17" t="inlineStr">
        <is>
          <t>— Not tested</t>
        </is>
      </c>
      <c r="L17" t="inlineStr">
        <is>
          <t>— Not tested</t>
        </is>
      </c>
    </row>
    <row r="18">
      <c r="A18" t="n">
        <v>302</v>
      </c>
      <c r="B18" t="inlineStr">
        <is>
          <t>3 — Trades</t>
        </is>
      </c>
      <c r="C18" t="n">
        <v>26</v>
      </c>
      <c r="D18" t="inlineStr">
        <is>
          <t>Trades — Filters, Import, Export, Compare</t>
        </is>
      </c>
      <c r="E18" t="inlineStr">
        <is>
          <t>Configuration</t>
        </is>
      </c>
      <c r="F18" t="inlineStr">
        <is>
          <t>P1</t>
        </is>
      </c>
      <c r="G18" t="inlineStr">
        <is>
          <t>Clear compare.</t>
        </is>
      </c>
      <c r="H18" t="inlineStr">
        <is>
          <t>—</t>
        </is>
      </c>
      <c r="I18" t="inlineStr">
        <is>
          <t>Returns to single source.</t>
        </is>
      </c>
      <c r="J18" t="inlineStr">
        <is>
          <t>— Not tested</t>
        </is>
      </c>
      <c r="K18" t="inlineStr">
        <is>
          <t>— Not tested</t>
        </is>
      </c>
      <c r="L18" t="inlineStr">
        <is>
          <t>— Not tested</t>
        </is>
      </c>
    </row>
    <row r="19">
      <c r="A19" t="n">
        <v>303</v>
      </c>
      <c r="B19" t="inlineStr">
        <is>
          <t>3 — Trades</t>
        </is>
      </c>
      <c r="C19" t="n">
        <v>27</v>
      </c>
      <c r="D19" t="inlineStr">
        <is>
          <t>Trades Table — Columns, Sort, Expand</t>
        </is>
      </c>
      <c r="E19" t="inlineStr">
        <is>
          <t>Structure</t>
        </is>
      </c>
      <c r="F19" t="inlineStr">
        <is>
          <t>P0</t>
        </is>
      </c>
      <c r="G19" t="inlineStr">
        <is>
          <t>Verify default columns present.</t>
        </is>
      </c>
      <c r="H19" t="inlineStr">
        <is>
          <t>—</t>
        </is>
      </c>
      <c r="I19" t="inlineStr">
        <is>
          <t>ID, Source, Date, Symbol, Side, Qty, Status, P&amp;L, R.</t>
        </is>
      </c>
      <c r="J19" t="inlineStr">
        <is>
          <t>— Not tested</t>
        </is>
      </c>
      <c r="K19" t="inlineStr">
        <is>
          <t>— Not tested</t>
        </is>
      </c>
      <c r="L19" t="inlineStr">
        <is>
          <t>— Not tested</t>
        </is>
      </c>
    </row>
    <row r="20">
      <c r="A20" t="n">
        <v>304</v>
      </c>
      <c r="B20" t="inlineStr">
        <is>
          <t>3 — Trades</t>
        </is>
      </c>
      <c r="C20" t="n">
        <v>27</v>
      </c>
      <c r="D20" t="inlineStr">
        <is>
          <t>Trades Table — Columns, Sort, Expand</t>
        </is>
      </c>
      <c r="E20" t="inlineStr">
        <is>
          <t>Structure</t>
        </is>
      </c>
      <c r="F20" t="inlineStr">
        <is>
          <t>P1</t>
        </is>
      </c>
      <c r="G20" t="inlineStr">
        <is>
          <t>Column picker: enable each optional column.</t>
        </is>
      </c>
      <c r="H20" t="inlineStr">
        <is>
          <t>all optional</t>
        </is>
      </c>
      <c r="I20" t="inlineStr">
        <is>
          <t>Each appears in table.</t>
        </is>
      </c>
      <c r="J20" t="inlineStr">
        <is>
          <t>— Not tested</t>
        </is>
      </c>
      <c r="K20" t="inlineStr">
        <is>
          <t>— Not tested</t>
        </is>
      </c>
      <c r="L20" t="inlineStr">
        <is>
          <t>— Not tested</t>
        </is>
      </c>
    </row>
    <row r="21">
      <c r="A21" t="n">
        <v>305</v>
      </c>
      <c r="B21" t="inlineStr">
        <is>
          <t>3 — Trades</t>
        </is>
      </c>
      <c r="C21" t="n">
        <v>27</v>
      </c>
      <c r="D21" t="inlineStr">
        <is>
          <t>Trades Table — Columns, Sort, Expand</t>
        </is>
      </c>
      <c r="E21" t="inlineStr">
        <is>
          <t>Structure</t>
        </is>
      </c>
      <c r="F21" t="inlineStr">
        <is>
          <t>P2</t>
        </is>
      </c>
      <c r="G21" t="inlineStr">
        <is>
          <t>Column picker: max 12 on overview.</t>
        </is>
      </c>
      <c r="H21" t="inlineStr">
        <is>
          <t>13th column</t>
        </is>
      </c>
      <c r="I21" t="inlineStr">
        <is>
          <t>Blocked or warning at 12.</t>
        </is>
      </c>
      <c r="J21" t="inlineStr">
        <is>
          <t>— Not tested</t>
        </is>
      </c>
      <c r="K21" t="inlineStr">
        <is>
          <t>— Not tested</t>
        </is>
      </c>
      <c r="L21" t="inlineStr">
        <is>
          <t>— Not tested</t>
        </is>
      </c>
    </row>
    <row r="22">
      <c r="A22" t="n">
        <v>306</v>
      </c>
      <c r="B22" t="inlineStr">
        <is>
          <t>3 — Trades</t>
        </is>
      </c>
      <c r="C22" t="n">
        <v>27</v>
      </c>
      <c r="D22" t="inlineStr">
        <is>
          <t>Trades Table — Columns, Sort, Expand</t>
        </is>
      </c>
      <c r="E22" t="inlineStr">
        <is>
          <t>Structure</t>
        </is>
      </c>
      <c r="F22" t="inlineStr">
        <is>
          <t>P2</t>
        </is>
      </c>
      <c r="G22" t="inlineStr">
        <is>
          <t>Save custom column view name.</t>
        </is>
      </c>
      <c r="H22" t="inlineStr">
        <is>
          <t>My View</t>
        </is>
      </c>
      <c r="I22" t="inlineStr">
        <is>
          <t>View restorable.</t>
        </is>
      </c>
      <c r="J22" t="inlineStr">
        <is>
          <t>— Not tested</t>
        </is>
      </c>
      <c r="K22" t="inlineStr">
        <is>
          <t>— Not tested</t>
        </is>
      </c>
      <c r="L22" t="inlineStr">
        <is>
          <t>— Not tested</t>
        </is>
      </c>
    </row>
    <row r="23">
      <c r="A23" t="n">
        <v>307</v>
      </c>
      <c r="B23" t="inlineStr">
        <is>
          <t>3 — Trades</t>
        </is>
      </c>
      <c r="C23" t="n">
        <v>27</v>
      </c>
      <c r="D23" t="inlineStr">
        <is>
          <t>Trades Table — Columns, Sort, Expand</t>
        </is>
      </c>
      <c r="E23" t="inlineStr">
        <is>
          <t>Structure</t>
        </is>
      </c>
      <c r="F23" t="inlineStr">
        <is>
          <t>P1</t>
        </is>
      </c>
      <c r="G23" t="inlineStr">
        <is>
          <t>Sort by Date asc/desc.</t>
        </is>
      </c>
      <c r="H23" t="inlineStr">
        <is>
          <t>—</t>
        </is>
      </c>
      <c r="I23" t="inlineStr">
        <is>
          <t>Chronological order.</t>
        </is>
      </c>
      <c r="J23" t="inlineStr">
        <is>
          <t>— Not tested</t>
        </is>
      </c>
      <c r="K23" t="inlineStr">
        <is>
          <t>— Not tested</t>
        </is>
      </c>
      <c r="L23" t="inlineStr">
        <is>
          <t>— Not tested</t>
        </is>
      </c>
    </row>
    <row r="24">
      <c r="A24" t="n">
        <v>308</v>
      </c>
      <c r="B24" t="inlineStr">
        <is>
          <t>3 — Trades</t>
        </is>
      </c>
      <c r="C24" t="n">
        <v>27</v>
      </c>
      <c r="D24" t="inlineStr">
        <is>
          <t>Trades Table — Columns, Sort, Expand</t>
        </is>
      </c>
      <c r="E24" t="inlineStr">
        <is>
          <t>Structure</t>
        </is>
      </c>
      <c r="F24" t="inlineStr">
        <is>
          <t>P1</t>
        </is>
      </c>
      <c r="G24" t="inlineStr">
        <is>
          <t>Sort by Net P&amp;L.</t>
        </is>
      </c>
      <c r="H24" t="inlineStr">
        <is>
          <t>—</t>
        </is>
      </c>
      <c r="I24" t="inlineStr">
        <is>
          <t>Highest/lowest P&amp;L.</t>
        </is>
      </c>
      <c r="J24" t="inlineStr">
        <is>
          <t>— Not tested</t>
        </is>
      </c>
      <c r="K24" t="inlineStr">
        <is>
          <t>— Not tested</t>
        </is>
      </c>
      <c r="L24" t="inlineStr">
        <is>
          <t>— Not tested</t>
        </is>
      </c>
    </row>
    <row r="25">
      <c r="A25" t="n">
        <v>309</v>
      </c>
      <c r="B25" t="inlineStr">
        <is>
          <t>3 — Trades</t>
        </is>
      </c>
      <c r="C25" t="n">
        <v>27</v>
      </c>
      <c r="D25" t="inlineStr">
        <is>
          <t>Trades Table — Columns, Sort, Expand</t>
        </is>
      </c>
      <c r="E25" t="inlineStr">
        <is>
          <t>Structure</t>
        </is>
      </c>
      <c r="F25" t="inlineStr">
        <is>
          <t>P1</t>
        </is>
      </c>
      <c r="G25" t="inlineStr">
        <is>
          <t>Sort by R.</t>
        </is>
      </c>
      <c r="H25" t="inlineStr">
        <is>
          <t>—</t>
        </is>
      </c>
      <c r="I25" t="inlineStr">
        <is>
          <t>R-multiple order.</t>
        </is>
      </c>
      <c r="J25" t="inlineStr">
        <is>
          <t>— Not tested</t>
        </is>
      </c>
      <c r="K25" t="inlineStr">
        <is>
          <t>— Not tested</t>
        </is>
      </c>
      <c r="L25" t="inlineStr">
        <is>
          <t>— Not tested</t>
        </is>
      </c>
    </row>
    <row r="26">
      <c r="A26" t="n">
        <v>310</v>
      </c>
      <c r="B26" t="inlineStr">
        <is>
          <t>3 — Trades</t>
        </is>
      </c>
      <c r="C26" t="n">
        <v>27</v>
      </c>
      <c r="D26" t="inlineStr">
        <is>
          <t>Trades Table — Columns, Sort, Expand</t>
        </is>
      </c>
      <c r="E26" t="inlineStr">
        <is>
          <t>Structure</t>
        </is>
      </c>
      <c r="F26" t="inlineStr">
        <is>
          <t>P0</t>
        </is>
      </c>
      <c r="G26" t="inlineStr">
        <is>
          <t>Expand row.</t>
        </is>
      </c>
      <c r="H26" t="inlineStr">
        <is>
          <t>—</t>
        </is>
      </c>
      <c r="I26" t="inlineStr">
        <is>
          <t>Detail: prices, excursion chart, tags, notes.</t>
        </is>
      </c>
      <c r="J26" t="inlineStr">
        <is>
          <t>— Not tested</t>
        </is>
      </c>
      <c r="K26" t="inlineStr">
        <is>
          <t>— Not tested</t>
        </is>
      </c>
      <c r="L26" t="inlineStr">
        <is>
          <t>— Not tested</t>
        </is>
      </c>
    </row>
    <row r="27">
      <c r="A27" t="n">
        <v>311</v>
      </c>
      <c r="B27" t="inlineStr">
        <is>
          <t>3 — Trades</t>
        </is>
      </c>
      <c r="C27" t="n">
        <v>27</v>
      </c>
      <c r="D27" t="inlineStr">
        <is>
          <t>Trades Table — Columns, Sort, Expand</t>
        </is>
      </c>
      <c r="E27" t="inlineStr">
        <is>
          <t>Structure</t>
        </is>
      </c>
      <c r="F27" t="inlineStr">
        <is>
          <t>P1</t>
        </is>
      </c>
      <c r="G27" t="inlineStr">
        <is>
          <t>Expand row with screenshots.</t>
        </is>
      </c>
      <c r="H27" t="inlineStr">
        <is>
          <t>—</t>
        </is>
      </c>
      <c r="I27" t="inlineStr">
        <is>
          <t>Images display.</t>
        </is>
      </c>
      <c r="J27" t="inlineStr">
        <is>
          <t>— Not tested</t>
        </is>
      </c>
      <c r="K27" t="inlineStr">
        <is>
          <t>— Not tested</t>
        </is>
      </c>
      <c r="L27" t="inlineStr">
        <is>
          <t>— Not tested</t>
        </is>
      </c>
    </row>
    <row r="28">
      <c r="A28" t="n">
        <v>312</v>
      </c>
      <c r="B28" t="inlineStr">
        <is>
          <t>3 — Trades</t>
        </is>
      </c>
      <c r="C28" t="n">
        <v>27</v>
      </c>
      <c r="D28" t="inlineStr">
        <is>
          <t>Trades Table — Columns, Sort, Expand</t>
        </is>
      </c>
      <c r="E28" t="inlineStr">
        <is>
          <t>Structure</t>
        </is>
      </c>
      <c r="F28" t="inlineStr">
        <is>
          <t>P0</t>
        </is>
      </c>
      <c r="G28" t="inlineStr">
        <is>
          <t>Edit from expanded row.</t>
        </is>
      </c>
      <c r="H28" t="inlineStr">
        <is>
          <t>—</t>
        </is>
      </c>
      <c r="I28" t="inlineStr">
        <is>
          <t>Editor opens.</t>
        </is>
      </c>
      <c r="J28" t="inlineStr">
        <is>
          <t>— Not tested</t>
        </is>
      </c>
      <c r="K28" t="inlineStr">
        <is>
          <t>— Not tested</t>
        </is>
      </c>
      <c r="L28" t="inlineStr">
        <is>
          <t>— Not tested</t>
        </is>
      </c>
    </row>
    <row r="29">
      <c r="A29" t="n">
        <v>313</v>
      </c>
      <c r="B29" t="inlineStr">
        <is>
          <t>3 — Trades</t>
        </is>
      </c>
      <c r="C29" t="n">
        <v>28</v>
      </c>
      <c r="D29" t="inlineStr">
        <is>
          <t>Add Trade — Source Picker</t>
        </is>
      </c>
      <c r="E29" t="inlineStr">
        <is>
          <t>Logic</t>
        </is>
      </c>
      <c r="F29" t="inlineStr">
        <is>
          <t>P0</t>
        </is>
      </c>
      <c r="G29" t="inlineStr">
        <is>
          <t>Add Trade → pick backtest session.</t>
        </is>
      </c>
      <c r="H29" t="inlineStr">
        <is>
          <t>session</t>
        </is>
      </c>
      <c r="I29" t="inlineStr">
        <is>
          <t>Editor scoped to session instruments.</t>
        </is>
      </c>
      <c r="J29" t="inlineStr">
        <is>
          <t>— Not tested</t>
        </is>
      </c>
      <c r="K29" t="inlineStr">
        <is>
          <t>— Not tested</t>
        </is>
      </c>
      <c r="L29" t="inlineStr">
        <is>
          <t>— Not tested</t>
        </is>
      </c>
    </row>
    <row r="30">
      <c r="A30" t="n">
        <v>314</v>
      </c>
      <c r="B30" t="inlineStr">
        <is>
          <t>3 — Trades</t>
        </is>
      </c>
      <c r="C30" t="n">
        <v>28</v>
      </c>
      <c r="D30" t="inlineStr">
        <is>
          <t>Add Trade — Source Picker</t>
        </is>
      </c>
      <c r="E30" t="inlineStr">
        <is>
          <t>Logic</t>
        </is>
      </c>
      <c r="F30" t="inlineStr">
        <is>
          <t>P0</t>
        </is>
      </c>
      <c r="G30" t="inlineStr">
        <is>
          <t>Add Trade → pick journal account.</t>
        </is>
      </c>
      <c r="H30" t="inlineStr">
        <is>
          <t>journal</t>
        </is>
      </c>
      <c r="I30" t="inlineStr">
        <is>
          <t>Discipline tab visible.</t>
        </is>
      </c>
      <c r="J30" t="inlineStr">
        <is>
          <t>— Not tested</t>
        </is>
      </c>
      <c r="K30" t="inlineStr">
        <is>
          <t>— Not tested</t>
        </is>
      </c>
      <c r="L30" t="inlineStr">
        <is>
          <t>— Not tested</t>
        </is>
      </c>
    </row>
    <row r="31">
      <c r="A31" t="n">
        <v>315</v>
      </c>
      <c r="B31" t="inlineStr">
        <is>
          <t>3 — Trades</t>
        </is>
      </c>
      <c r="C31" t="n">
        <v>28</v>
      </c>
      <c r="D31" t="inlineStr">
        <is>
          <t>Add Trade — Source Picker</t>
        </is>
      </c>
      <c r="E31" t="inlineStr">
        <is>
          <t>Logic</t>
        </is>
      </c>
      <c r="F31" t="inlineStr">
        <is>
          <t>P2</t>
        </is>
      </c>
      <c r="G31" t="inlineStr">
        <is>
          <t>Single eligible source auto-skip picker.</t>
        </is>
      </c>
      <c r="H31" t="inlineStr">
        <is>
          <t>1 source</t>
        </is>
      </c>
      <c r="I31" t="inlineStr">
        <is>
          <t>Editor opens directly.</t>
        </is>
      </c>
      <c r="J31" t="inlineStr">
        <is>
          <t>— Not tested</t>
        </is>
      </c>
      <c r="K31" t="inlineStr">
        <is>
          <t>— Not tested</t>
        </is>
      </c>
      <c r="L31" t="inlineStr">
        <is>
          <t>— Not tested</t>
        </is>
      </c>
    </row>
    <row r="32">
      <c r="A32" t="n">
        <v>316</v>
      </c>
      <c r="B32" t="inlineStr">
        <is>
          <t>3 — Trades</t>
        </is>
      </c>
      <c r="C32" t="n">
        <v>28</v>
      </c>
      <c r="D32" t="inlineStr">
        <is>
          <t>Add Trade — Source Picker</t>
        </is>
      </c>
      <c r="E32" t="inlineStr">
        <is>
          <t>Logic</t>
        </is>
      </c>
      <c r="F32" t="inlineStr">
        <is>
          <t>P2</t>
        </is>
      </c>
      <c r="G32" t="inlineStr">
        <is>
          <t>First-time warning modal → dismiss.</t>
        </is>
      </c>
      <c r="H32" t="inlineStr">
        <is>
          <t>—</t>
        </is>
      </c>
      <c r="I32" t="inlineStr">
        <is>
          <t>Editor opens.</t>
        </is>
      </c>
      <c r="J32" t="inlineStr">
        <is>
          <t>— Not tested</t>
        </is>
      </c>
      <c r="K32" t="inlineStr">
        <is>
          <t>— Not tested</t>
        </is>
      </c>
      <c r="L32" t="inlineStr">
        <is>
          <t>— Not tested</t>
        </is>
      </c>
    </row>
    <row r="33">
      <c r="A33" t="n">
        <v>317</v>
      </c>
      <c r="B33" t="inlineStr">
        <is>
          <t>3 — Trades</t>
        </is>
      </c>
      <c r="C33" t="n">
        <v>28</v>
      </c>
      <c r="D33" t="inlineStr">
        <is>
          <t>Add Trade — Source Picker</t>
        </is>
      </c>
      <c r="E33" t="inlineStr">
        <is>
          <t>Logic</t>
        </is>
      </c>
      <c r="F33" t="inlineStr">
        <is>
          <t>P2</t>
        </is>
      </c>
      <c r="G33" t="inlineStr">
        <is>
          <t>Warning 'Don't show again' → reload → Add Trade.</t>
        </is>
      </c>
      <c r="H33" t="inlineStr">
        <is>
          <t>—</t>
        </is>
      </c>
      <c r="I33" t="inlineStr">
        <is>
          <t>Modal skipped.</t>
        </is>
      </c>
      <c r="J33" t="inlineStr">
        <is>
          <t>— Not tested</t>
        </is>
      </c>
      <c r="K33" t="inlineStr">
        <is>
          <t>— Not tested</t>
        </is>
      </c>
      <c r="L33" t="inlineStr">
        <is>
          <t>— Not tested</t>
        </is>
      </c>
    </row>
    <row r="34">
      <c r="A34" t="n">
        <v>318</v>
      </c>
      <c r="B34" t="inlineStr">
        <is>
          <t>3 — Trades</t>
        </is>
      </c>
      <c r="C34" t="n">
        <v>29</v>
      </c>
      <c r="D34" t="inlineStr">
        <is>
          <t>Add Trade — Trade &amp; Risk (Normal Scenarios)</t>
        </is>
      </c>
      <c r="E34" t="inlineStr">
        <is>
          <t>Normal</t>
        </is>
      </c>
      <c r="F34" t="inlineStr">
        <is>
          <t>P0</t>
        </is>
      </c>
      <c r="G34" t="inlineStr">
        <is>
          <t>LONG win: entry 100, SL 95, TP 110, exit 110, qty 1.</t>
        </is>
      </c>
      <c r="H34" t="inlineStr">
        <is>
          <t>see left</t>
        </is>
      </c>
      <c r="I34" t="inlineStr">
        <is>
          <t>Positive P&amp;L; R ≈ 2.</t>
        </is>
      </c>
      <c r="J34" t="inlineStr">
        <is>
          <t>— Not tested</t>
        </is>
      </c>
      <c r="K34" t="inlineStr">
        <is>
          <t>— Not tested</t>
        </is>
      </c>
      <c r="L34" t="inlineStr">
        <is>
          <t>— Not tested</t>
        </is>
      </c>
    </row>
    <row r="35">
      <c r="A35" t="n">
        <v>319</v>
      </c>
      <c r="B35" t="inlineStr">
        <is>
          <t>3 — Trades</t>
        </is>
      </c>
      <c r="C35" t="n">
        <v>29</v>
      </c>
      <c r="D35" t="inlineStr">
        <is>
          <t>Add Trade — Trade &amp; Risk (Normal Scenarios)</t>
        </is>
      </c>
      <c r="E35" t="inlineStr">
        <is>
          <t>Normal</t>
        </is>
      </c>
      <c r="F35" t="inlineStr">
        <is>
          <t>P0</t>
        </is>
      </c>
      <c r="G35" t="inlineStr">
        <is>
          <t>LONG loss: exit at SL 95.</t>
        </is>
      </c>
      <c r="H35" t="inlineStr">
        <is>
          <t>—</t>
        </is>
      </c>
      <c r="I35" t="inlineStr">
        <is>
          <t>Negative P&amp;L; R ≈ -1.</t>
        </is>
      </c>
      <c r="J35" t="inlineStr">
        <is>
          <t>— Not tested</t>
        </is>
      </c>
      <c r="K35" t="inlineStr">
        <is>
          <t>— Not tested</t>
        </is>
      </c>
      <c r="L35" t="inlineStr">
        <is>
          <t>— Not tested</t>
        </is>
      </c>
    </row>
    <row r="36">
      <c r="A36" t="n">
        <v>320</v>
      </c>
      <c r="B36" t="inlineStr">
        <is>
          <t>3 — Trades</t>
        </is>
      </c>
      <c r="C36" t="n">
        <v>29</v>
      </c>
      <c r="D36" t="inlineStr">
        <is>
          <t>Add Trade — Trade &amp; Risk (Normal Scenarios)</t>
        </is>
      </c>
      <c r="E36" t="inlineStr">
        <is>
          <t>Normal</t>
        </is>
      </c>
      <c r="F36" t="inlineStr">
        <is>
          <t>P0</t>
        </is>
      </c>
      <c r="G36" t="inlineStr">
        <is>
          <t>SHORT win: entry 100, SL 105, TP 90, exit 90.</t>
        </is>
      </c>
      <c r="H36" t="inlineStr">
        <is>
          <t>—</t>
        </is>
      </c>
      <c r="I36" t="inlineStr">
        <is>
          <t>Positive P&amp;L on short.</t>
        </is>
      </c>
      <c r="J36" t="inlineStr">
        <is>
          <t>— Not tested</t>
        </is>
      </c>
      <c r="K36" t="inlineStr">
        <is>
          <t>— Not tested</t>
        </is>
      </c>
      <c r="L36" t="inlineStr">
        <is>
          <t>— Not tested</t>
        </is>
      </c>
    </row>
    <row r="37">
      <c r="A37" t="n">
        <v>321</v>
      </c>
      <c r="B37" t="inlineStr">
        <is>
          <t>3 — Trades</t>
        </is>
      </c>
      <c r="C37" t="n">
        <v>29</v>
      </c>
      <c r="D37" t="inlineStr">
        <is>
          <t>Add Trade — Trade &amp; Risk (Normal Scenarios)</t>
        </is>
      </c>
      <c r="E37" t="inlineStr">
        <is>
          <t>Normal</t>
        </is>
      </c>
      <c r="F37" t="inlineStr">
        <is>
          <t>P0</t>
        </is>
      </c>
      <c r="G37" t="inlineStr">
        <is>
          <t>SHORT loss: exit 105.</t>
        </is>
      </c>
      <c r="H37" t="inlineStr">
        <is>
          <t>—</t>
        </is>
      </c>
      <c r="I37" t="inlineStr">
        <is>
          <t>Negative P&amp;L.</t>
        </is>
      </c>
      <c r="J37" t="inlineStr">
        <is>
          <t>— Not tested</t>
        </is>
      </c>
      <c r="K37" t="inlineStr">
        <is>
          <t>— Not tested</t>
        </is>
      </c>
      <c r="L37" t="inlineStr">
        <is>
          <t>— Not tested</t>
        </is>
      </c>
    </row>
    <row r="38">
      <c r="A38" t="n">
        <v>322</v>
      </c>
      <c r="B38" t="inlineStr">
        <is>
          <t>3 — Trades</t>
        </is>
      </c>
      <c r="C38" t="n">
        <v>29</v>
      </c>
      <c r="D38" t="inlineStr">
        <is>
          <t>Add Trade — Trade &amp; Risk (Normal Scenarios)</t>
        </is>
      </c>
      <c r="E38" t="inlineStr">
        <is>
          <t>Normal</t>
        </is>
      </c>
      <c r="F38" t="inlineStr">
        <is>
          <t>P0</t>
        </is>
      </c>
      <c r="G38" t="inlineStr">
        <is>
          <t>OPEN trade: no exit rows, exit timing OFF.</t>
        </is>
      </c>
      <c r="H38" t="inlineStr">
        <is>
          <t>—</t>
        </is>
      </c>
      <c r="I38" t="inlineStr">
        <is>
          <t>Status Open; no close P&amp;L.</t>
        </is>
      </c>
      <c r="J38" t="inlineStr">
        <is>
          <t>— Not tested</t>
        </is>
      </c>
      <c r="K38" t="inlineStr">
        <is>
          <t>— Not tested</t>
        </is>
      </c>
      <c r="L38" t="inlineStr">
        <is>
          <t>— Not tested</t>
        </is>
      </c>
    </row>
    <row r="39">
      <c r="A39" t="n">
        <v>323</v>
      </c>
      <c r="B39" t="inlineStr">
        <is>
          <t>3 — Trades</t>
        </is>
      </c>
      <c r="C39" t="n">
        <v>29</v>
      </c>
      <c r="D39" t="inlineStr">
        <is>
          <t>Add Trade — Trade &amp; Risk (Normal Scenarios)</t>
        </is>
      </c>
      <c r="E39" t="inlineStr">
        <is>
          <t>Normal</t>
        </is>
      </c>
      <c r="F39" t="inlineStr">
        <is>
          <t>P1</t>
        </is>
      </c>
      <c r="G39" t="inlineStr">
        <is>
          <t>2 entry rows scale-in: 50% + 50%.</t>
        </is>
      </c>
      <c r="H39" t="inlineStr">
        <is>
          <t>2 entries</t>
        </is>
      </c>
      <c r="I39" t="inlineStr">
        <is>
          <t>Avg entry weighted correctly.</t>
        </is>
      </c>
      <c r="J39" t="inlineStr">
        <is>
          <t>— Not tested</t>
        </is>
      </c>
      <c r="K39" t="inlineStr">
        <is>
          <t>— Not tested</t>
        </is>
      </c>
      <c r="L39" t="inlineStr">
        <is>
          <t>— Not tested</t>
        </is>
      </c>
    </row>
    <row r="40">
      <c r="A40" t="n">
        <v>324</v>
      </c>
      <c r="B40" t="inlineStr">
        <is>
          <t>3 — Trades</t>
        </is>
      </c>
      <c r="C40" t="n">
        <v>29</v>
      </c>
      <c r="D40" t="inlineStr">
        <is>
          <t>Add Trade — Trade &amp; Risk (Normal Scenarios)</t>
        </is>
      </c>
      <c r="E40" t="inlineStr">
        <is>
          <t>Normal</t>
        </is>
      </c>
      <c r="F40" t="inlineStr">
        <is>
          <t>P2</t>
        </is>
      </c>
      <c r="G40" t="inlineStr">
        <is>
          <t>5 entry rows.</t>
        </is>
      </c>
      <c r="H40" t="inlineStr">
        <is>
          <t>5 entries</t>
        </is>
      </c>
      <c r="I40" t="inlineStr">
        <is>
          <t>Avg entry still calculates.</t>
        </is>
      </c>
      <c r="J40" t="inlineStr">
        <is>
          <t>— Not tested</t>
        </is>
      </c>
      <c r="K40" t="inlineStr">
        <is>
          <t>— Not tested</t>
        </is>
      </c>
      <c r="L40" t="inlineStr">
        <is>
          <t>— Not tested</t>
        </is>
      </c>
    </row>
    <row r="41">
      <c r="A41" t="n">
        <v>325</v>
      </c>
      <c r="B41" t="inlineStr">
        <is>
          <t>3 — Trades</t>
        </is>
      </c>
      <c r="C41" t="n">
        <v>29</v>
      </c>
      <c r="D41" t="inlineStr">
        <is>
          <t>Add Trade — Trade &amp; Risk (Normal Scenarios)</t>
        </is>
      </c>
      <c r="E41" t="inlineStr">
        <is>
          <t>Normal</t>
        </is>
      </c>
      <c r="F41" t="inlineStr">
        <is>
          <t>P1</t>
        </is>
      </c>
      <c r="G41" t="inlineStr">
        <is>
          <t>2 targets partial.</t>
        </is>
      </c>
      <c r="H41" t="inlineStr">
        <is>
          <t>2 TPs</t>
        </is>
      </c>
      <c r="I41" t="inlineStr">
        <is>
          <t>Planned R uses blended target.</t>
        </is>
      </c>
      <c r="J41" t="inlineStr">
        <is>
          <t>— Not tested</t>
        </is>
      </c>
      <c r="K41" t="inlineStr">
        <is>
          <t>— Not tested</t>
        </is>
      </c>
      <c r="L41" t="inlineStr">
        <is>
          <t>— Not tested</t>
        </is>
      </c>
    </row>
    <row r="42">
      <c r="A42" t="n">
        <v>326</v>
      </c>
      <c r="B42" t="inlineStr">
        <is>
          <t>3 — Trades</t>
        </is>
      </c>
      <c r="C42" t="n">
        <v>29</v>
      </c>
      <c r="D42" t="inlineStr">
        <is>
          <t>Add Trade — Trade &amp; Risk (Normal Scenarios)</t>
        </is>
      </c>
      <c r="E42" t="inlineStr">
        <is>
          <t>Normal</t>
        </is>
      </c>
      <c r="F42" t="inlineStr">
        <is>
          <t>P1</t>
        </is>
      </c>
      <c r="G42" t="inlineStr">
        <is>
          <t>2 exit rows partial close.</t>
        </is>
      </c>
      <c r="H42" t="inlineStr">
        <is>
          <t>50% + 50%</t>
        </is>
      </c>
      <c r="I42" t="inlineStr">
        <is>
          <t>Exited size matches.</t>
        </is>
      </c>
      <c r="J42" t="inlineStr">
        <is>
          <t>— Not tested</t>
        </is>
      </c>
      <c r="K42" t="inlineStr">
        <is>
          <t>— Not tested</t>
        </is>
      </c>
      <c r="L42" t="inlineStr">
        <is>
          <t>— Not tested</t>
        </is>
      </c>
    </row>
    <row r="43">
      <c r="A43" t="n">
        <v>327</v>
      </c>
      <c r="B43" t="inlineStr">
        <is>
          <t>3 — Trades</t>
        </is>
      </c>
      <c r="C43" t="n">
        <v>29</v>
      </c>
      <c r="D43" t="inlineStr">
        <is>
          <t>Add Trade — Trade &amp; Risk (Normal Scenarios)</t>
        </is>
      </c>
      <c r="E43" t="inlineStr">
        <is>
          <t>Normal</t>
        </is>
      </c>
      <c r="F43" t="inlineStr">
        <is>
          <t>P1</t>
        </is>
      </c>
      <c r="G43" t="inlineStr">
        <is>
          <t>Commission 5.00 on round trip.</t>
        </is>
      </c>
      <c r="H43" t="inlineStr">
        <is>
          <t>$5</t>
        </is>
      </c>
      <c r="I43" t="inlineStr">
        <is>
          <t>Net P&amp;L reduced by commission.</t>
        </is>
      </c>
      <c r="J43" t="inlineStr">
        <is>
          <t>— Not tested</t>
        </is>
      </c>
      <c r="K43" t="inlineStr">
        <is>
          <t>— Not tested</t>
        </is>
      </c>
      <c r="L43" t="inlineStr">
        <is>
          <t>— Not tested</t>
        </is>
      </c>
    </row>
    <row r="44">
      <c r="A44" t="n">
        <v>328</v>
      </c>
      <c r="B44" t="inlineStr">
        <is>
          <t>3 — Trades</t>
        </is>
      </c>
      <c r="C44" t="n">
        <v>29</v>
      </c>
      <c r="D44" t="inlineStr">
        <is>
          <t>Add Trade — Trade &amp; Risk (Normal Scenarios)</t>
        </is>
      </c>
      <c r="E44" t="inlineStr">
        <is>
          <t>Normal</t>
        </is>
      </c>
      <c r="F44" t="inlineStr">
        <is>
          <t>P2</t>
        </is>
      </c>
      <c r="G44" t="inlineStr">
        <is>
          <t>Spread 2 pips.</t>
        </is>
      </c>
      <c r="H44" t="inlineStr">
        <is>
          <t>2</t>
        </is>
      </c>
      <c r="I44" t="inlineStr">
        <is>
          <t>Affects fill prices.</t>
        </is>
      </c>
      <c r="J44" t="inlineStr">
        <is>
          <t>— Not tested</t>
        </is>
      </c>
      <c r="K44" t="inlineStr">
        <is>
          <t>— Not tested</t>
        </is>
      </c>
      <c r="L44" t="inlineStr">
        <is>
          <t>— Not tested</t>
        </is>
      </c>
    </row>
    <row r="45">
      <c r="A45" t="n">
        <v>329</v>
      </c>
      <c r="B45" t="inlineStr">
        <is>
          <t>3 — Trades</t>
        </is>
      </c>
      <c r="C45" t="n">
        <v>30</v>
      </c>
      <c r="D45" t="inlineStr">
        <is>
          <t>Add Trade — Field Input Extremes</t>
        </is>
      </c>
      <c r="E45" t="inlineStr">
        <is>
          <t>Extreme</t>
        </is>
      </c>
      <c r="F45" t="inlineStr">
        <is>
          <t>P2</t>
        </is>
      </c>
      <c r="G45" t="inlineStr">
        <is>
          <t>Entry price 0.00001 (micro).</t>
        </is>
      </c>
      <c r="H45" t="inlineStr">
        <is>
          <t>micro price</t>
        </is>
      </c>
      <c r="I45" t="inlineStr">
        <is>
          <t>Accepts if &gt;0.</t>
        </is>
      </c>
      <c r="J45" t="inlineStr">
        <is>
          <t>— Not tested</t>
        </is>
      </c>
      <c r="K45" t="inlineStr">
        <is>
          <t>— Not tested</t>
        </is>
      </c>
      <c r="L45" t="inlineStr">
        <is>
          <t>— Not tested</t>
        </is>
      </c>
    </row>
    <row r="46">
      <c r="A46" t="n">
        <v>330</v>
      </c>
      <c r="B46" t="inlineStr">
        <is>
          <t>3 — Trades</t>
        </is>
      </c>
      <c r="C46" t="n">
        <v>30</v>
      </c>
      <c r="D46" t="inlineStr">
        <is>
          <t>Add Trade — Field Input Extremes</t>
        </is>
      </c>
      <c r="E46" t="inlineStr">
        <is>
          <t>Extreme</t>
        </is>
      </c>
      <c r="F46" t="inlineStr">
        <is>
          <t>P2</t>
        </is>
      </c>
      <c r="G46" t="inlineStr">
        <is>
          <t>Entry price 999999.</t>
        </is>
      </c>
      <c r="H46" t="inlineStr">
        <is>
          <t>huge price</t>
        </is>
      </c>
      <c r="I46" t="inlineStr">
        <is>
          <t>Accepts; preview scales.</t>
        </is>
      </c>
      <c r="J46" t="inlineStr">
        <is>
          <t>— Not tested</t>
        </is>
      </c>
      <c r="K46" t="inlineStr">
        <is>
          <t>— Not tested</t>
        </is>
      </c>
      <c r="L46" t="inlineStr">
        <is>
          <t>— Not tested</t>
        </is>
      </c>
    </row>
    <row r="47">
      <c r="A47" t="n">
        <v>331</v>
      </c>
      <c r="B47" t="inlineStr">
        <is>
          <t>3 — Trades</t>
        </is>
      </c>
      <c r="C47" t="n">
        <v>30</v>
      </c>
      <c r="D47" t="inlineStr">
        <is>
          <t>Add Trade — Field Input Extremes</t>
        </is>
      </c>
      <c r="E47" t="inlineStr">
        <is>
          <t>Extreme</t>
        </is>
      </c>
      <c r="F47" t="inlineStr">
        <is>
          <t>P1</t>
        </is>
      </c>
      <c r="G47" t="inlineStr">
        <is>
          <t>Qty 0.01 lots (min).</t>
        </is>
      </c>
      <c r="H47" t="inlineStr">
        <is>
          <t>0.01</t>
        </is>
      </c>
      <c r="I47" t="inlineStr">
        <is>
          <t>Accepts.</t>
        </is>
      </c>
      <c r="J47" t="inlineStr">
        <is>
          <t>— Not tested</t>
        </is>
      </c>
      <c r="K47" t="inlineStr">
        <is>
          <t>— Not tested</t>
        </is>
      </c>
      <c r="L47" t="inlineStr">
        <is>
          <t>— Not tested</t>
        </is>
      </c>
    </row>
    <row r="48">
      <c r="A48" t="n">
        <v>332</v>
      </c>
      <c r="B48" t="inlineStr">
        <is>
          <t>3 — Trades</t>
        </is>
      </c>
      <c r="C48" t="n">
        <v>30</v>
      </c>
      <c r="D48" t="inlineStr">
        <is>
          <t>Add Trade — Field Input Extremes</t>
        </is>
      </c>
      <c r="E48" t="inlineStr">
        <is>
          <t>Extreme</t>
        </is>
      </c>
      <c r="F48" t="inlineStr">
        <is>
          <t>P2</t>
        </is>
      </c>
      <c r="G48" t="inlineStr">
        <is>
          <t>Qty 100 lots.</t>
        </is>
      </c>
      <c r="H48" t="inlineStr">
        <is>
          <t>100</t>
        </is>
      </c>
      <c r="I48" t="inlineStr">
        <is>
          <t>Accepts; risk preview updates.</t>
        </is>
      </c>
      <c r="J48" t="inlineStr">
        <is>
          <t>— Not tested</t>
        </is>
      </c>
      <c r="K48" t="inlineStr">
        <is>
          <t>— Not tested</t>
        </is>
      </c>
      <c r="L48" t="inlineStr">
        <is>
          <t>— Not tested</t>
        </is>
      </c>
    </row>
    <row r="49">
      <c r="A49" t="n">
        <v>333</v>
      </c>
      <c r="B49" t="inlineStr">
        <is>
          <t>3 — Trades</t>
        </is>
      </c>
      <c r="C49" t="n">
        <v>30</v>
      </c>
      <c r="D49" t="inlineStr">
        <is>
          <t>Add Trade — Field Input Extremes</t>
        </is>
      </c>
      <c r="E49" t="inlineStr">
        <is>
          <t>Extreme</t>
        </is>
      </c>
      <c r="F49" t="inlineStr">
        <is>
          <t>P0</t>
        </is>
      </c>
      <c r="G49" t="inlineStr">
        <is>
          <t>Qty 0.</t>
        </is>
      </c>
      <c r="H49" t="inlineStr">
        <is>
          <t>0</t>
        </is>
      </c>
      <c r="I49" t="inlineStr">
        <is>
          <t>Blocked.</t>
        </is>
      </c>
      <c r="J49" t="inlineStr">
        <is>
          <t>— Not tested</t>
        </is>
      </c>
      <c r="K49" t="inlineStr">
        <is>
          <t>— Not tested</t>
        </is>
      </c>
      <c r="L49" t="inlineStr">
        <is>
          <t>— Not tested</t>
        </is>
      </c>
    </row>
    <row r="50">
      <c r="A50" t="n">
        <v>334</v>
      </c>
      <c r="B50" t="inlineStr">
        <is>
          <t>3 — Trades</t>
        </is>
      </c>
      <c r="C50" t="n">
        <v>30</v>
      </c>
      <c r="D50" t="inlineStr">
        <is>
          <t>Add Trade — Field Input Extremes</t>
        </is>
      </c>
      <c r="E50" t="inlineStr">
        <is>
          <t>Extreme</t>
        </is>
      </c>
      <c r="F50" t="inlineStr">
        <is>
          <t>P0</t>
        </is>
      </c>
      <c r="G50" t="inlineStr">
        <is>
          <t>Qty negative.</t>
        </is>
      </c>
      <c r="H50" t="inlineStr">
        <is>
          <t>-1</t>
        </is>
      </c>
      <c r="I50" t="inlineStr">
        <is>
          <t>Blocked.</t>
        </is>
      </c>
      <c r="J50" t="inlineStr">
        <is>
          <t>— Not tested</t>
        </is>
      </c>
      <c r="K50" t="inlineStr">
        <is>
          <t>— Not tested</t>
        </is>
      </c>
      <c r="L50" t="inlineStr">
        <is>
          <t>— Not tested</t>
        </is>
      </c>
    </row>
    <row r="51">
      <c r="A51" t="n">
        <v>335</v>
      </c>
      <c r="B51" t="inlineStr">
        <is>
          <t>3 — Trades</t>
        </is>
      </c>
      <c r="C51" t="n">
        <v>30</v>
      </c>
      <c r="D51" t="inlineStr">
        <is>
          <t>Add Trade — Field Input Extremes</t>
        </is>
      </c>
      <c r="E51" t="inlineStr">
        <is>
          <t>Extreme</t>
        </is>
      </c>
      <c r="F51" t="inlineStr">
        <is>
          <t>P0</t>
        </is>
      </c>
      <c r="G51" t="inlineStr">
        <is>
          <t>Stop loss = 0.</t>
        </is>
      </c>
      <c r="H51" t="inlineStr">
        <is>
          <t>0</t>
        </is>
      </c>
      <c r="I51" t="inlineStr">
        <is>
          <t>Blocked.</t>
        </is>
      </c>
      <c r="J51" t="inlineStr">
        <is>
          <t>— Not tested</t>
        </is>
      </c>
      <c r="K51" t="inlineStr">
        <is>
          <t>— Not tested</t>
        </is>
      </c>
      <c r="L51" t="inlineStr">
        <is>
          <t>— Not tested</t>
        </is>
      </c>
    </row>
    <row r="52">
      <c r="A52" t="n">
        <v>336</v>
      </c>
      <c r="B52" t="inlineStr">
        <is>
          <t>3 — Trades</t>
        </is>
      </c>
      <c r="C52" t="n">
        <v>30</v>
      </c>
      <c r="D52" t="inlineStr">
        <is>
          <t>Add Trade — Field Input Extremes</t>
        </is>
      </c>
      <c r="E52" t="inlineStr">
        <is>
          <t>Extreme</t>
        </is>
      </c>
      <c r="F52" t="inlineStr">
        <is>
          <t>P0</t>
        </is>
      </c>
      <c r="G52" t="inlineStr">
        <is>
          <t>Stop loss negative.</t>
        </is>
      </c>
      <c r="H52" t="inlineStr">
        <is>
          <t>-5</t>
        </is>
      </c>
      <c r="I52" t="inlineStr">
        <is>
          <t>Blocked.</t>
        </is>
      </c>
      <c r="J52" t="inlineStr">
        <is>
          <t>— Not tested</t>
        </is>
      </c>
      <c r="K52" t="inlineStr">
        <is>
          <t>— Not tested</t>
        </is>
      </c>
      <c r="L52" t="inlineStr">
        <is>
          <t>— Not tested</t>
        </is>
      </c>
    </row>
    <row r="53">
      <c r="A53" t="n">
        <v>337</v>
      </c>
      <c r="B53" t="inlineStr">
        <is>
          <t>3 — Trades</t>
        </is>
      </c>
      <c r="C53" t="n">
        <v>31</v>
      </c>
      <c r="D53" t="inlineStr">
        <is>
          <t>Add Trade — Validation Errors</t>
        </is>
      </c>
      <c r="E53" t="inlineStr">
        <is>
          <t>Logic</t>
        </is>
      </c>
      <c r="F53" t="inlineStr">
        <is>
          <t>P0</t>
        </is>
      </c>
      <c r="G53" t="inlineStr">
        <is>
          <t>Symbol not in source instrument list.</t>
        </is>
      </c>
      <c r="H53" t="inlineStr">
        <is>
          <t>GBPUSD on NQ-only session</t>
        </is>
      </c>
      <c r="I53" t="inlineStr">
        <is>
          <t>Error: instrument must belong to source.</t>
        </is>
      </c>
      <c r="J53" t="inlineStr">
        <is>
          <t>— Not tested</t>
        </is>
      </c>
      <c r="K53" t="inlineStr">
        <is>
          <t>— Not tested</t>
        </is>
      </c>
      <c r="L53" t="inlineStr">
        <is>
          <t>— Not tested</t>
        </is>
      </c>
    </row>
    <row r="54">
      <c r="A54" t="n">
        <v>338</v>
      </c>
      <c r="B54" t="inlineStr">
        <is>
          <t>3 — Trades</t>
        </is>
      </c>
      <c r="C54" t="n">
        <v>31</v>
      </c>
      <c r="D54" t="inlineStr">
        <is>
          <t>Add Trade — Validation Errors</t>
        </is>
      </c>
      <c r="E54" t="inlineStr">
        <is>
          <t>Logic</t>
        </is>
      </c>
      <c r="F54" t="inlineStr">
        <is>
          <t>P0</t>
        </is>
      </c>
      <c r="G54" t="inlineStr">
        <is>
          <t>Journal backtest trade without strategy/setup.</t>
        </is>
      </c>
      <c r="H54" t="inlineStr">
        <is>
          <t>empty setup</t>
        </is>
      </c>
      <c r="I54" t="inlineStr">
        <is>
          <t>Error: choose strategy.</t>
        </is>
      </c>
      <c r="J54" t="inlineStr">
        <is>
          <t>— Not tested</t>
        </is>
      </c>
      <c r="K54" t="inlineStr">
        <is>
          <t>— Not tested</t>
        </is>
      </c>
      <c r="L54" t="inlineStr">
        <is>
          <t>— Not tested</t>
        </is>
      </c>
    </row>
    <row r="55">
      <c r="A55" t="n">
        <v>339</v>
      </c>
      <c r="B55" t="inlineStr">
        <is>
          <t>3 — Trades</t>
        </is>
      </c>
      <c r="C55" t="n">
        <v>31</v>
      </c>
      <c r="D55" t="inlineStr">
        <is>
          <t>Add Trade — Validation Errors</t>
        </is>
      </c>
      <c r="E55" t="inlineStr">
        <is>
          <t>Logic</t>
        </is>
      </c>
      <c r="F55" t="inlineStr">
        <is>
          <t>P0</t>
        </is>
      </c>
      <c r="G55" t="inlineStr">
        <is>
          <t>Missing entry date/time.</t>
        </is>
      </c>
      <c r="H55" t="inlineStr">
        <is>
          <t>empty</t>
        </is>
      </c>
      <c r="I55" t="inlineStr">
        <is>
          <t>Error: entry date and time required.</t>
        </is>
      </c>
      <c r="J55" t="inlineStr">
        <is>
          <t>— Not tested</t>
        </is>
      </c>
      <c r="K55" t="inlineStr">
        <is>
          <t>— Not tested</t>
        </is>
      </c>
      <c r="L55" t="inlineStr">
        <is>
          <t>— Not tested</t>
        </is>
      </c>
    </row>
    <row r="56">
      <c r="A56" t="n">
        <v>340</v>
      </c>
      <c r="B56" t="inlineStr">
        <is>
          <t>3 — Trades</t>
        </is>
      </c>
      <c r="C56" t="n">
        <v>31</v>
      </c>
      <c r="D56" t="inlineStr">
        <is>
          <t>Add Trade — Validation Errors</t>
        </is>
      </c>
      <c r="E56" t="inlineStr">
        <is>
          <t>Logic</t>
        </is>
      </c>
      <c r="F56" t="inlineStr">
        <is>
          <t>P0</t>
        </is>
      </c>
      <c r="G56" t="inlineStr">
        <is>
          <t>Entry date before session start.</t>
        </is>
      </c>
      <c r="H56" t="inlineStr">
        <is>
          <t>before range</t>
        </is>
      </c>
      <c r="I56" t="inlineStr">
        <is>
          <t>Error: within session range.</t>
        </is>
      </c>
      <c r="J56" t="inlineStr">
        <is>
          <t>— Not tested</t>
        </is>
      </c>
      <c r="K56" t="inlineStr">
        <is>
          <t>— Not tested</t>
        </is>
      </c>
      <c r="L56" t="inlineStr">
        <is>
          <t>— Not tested</t>
        </is>
      </c>
    </row>
    <row r="57">
      <c r="A57" t="n">
        <v>341</v>
      </c>
      <c r="B57" t="inlineStr">
        <is>
          <t>3 — Trades</t>
        </is>
      </c>
      <c r="C57" t="n">
        <v>31</v>
      </c>
      <c r="D57" t="inlineStr">
        <is>
          <t>Add Trade — Validation Errors</t>
        </is>
      </c>
      <c r="E57" t="inlineStr">
        <is>
          <t>Logic</t>
        </is>
      </c>
      <c r="F57" t="inlineStr">
        <is>
          <t>P0</t>
        </is>
      </c>
      <c r="G57" t="inlineStr">
        <is>
          <t>Entry date after session end.</t>
        </is>
      </c>
      <c r="H57" t="inlineStr">
        <is>
          <t>after range</t>
        </is>
      </c>
      <c r="I57" t="inlineStr">
        <is>
          <t>Error: within session range.</t>
        </is>
      </c>
      <c r="J57" t="inlineStr">
        <is>
          <t>— Not tested</t>
        </is>
      </c>
      <c r="K57" t="inlineStr">
        <is>
          <t>— Not tested</t>
        </is>
      </c>
      <c r="L57" t="inlineStr">
        <is>
          <t>— Not tested</t>
        </is>
      </c>
    </row>
    <row r="58">
      <c r="A58" t="n">
        <v>342</v>
      </c>
      <c r="B58" t="inlineStr">
        <is>
          <t>3 — Trades</t>
        </is>
      </c>
      <c r="C58" t="n">
        <v>31</v>
      </c>
      <c r="D58" t="inlineStr">
        <is>
          <t>Add Trade — Validation Errors</t>
        </is>
      </c>
      <c r="E58" t="inlineStr">
        <is>
          <t>Logic</t>
        </is>
      </c>
      <c r="F58" t="inlineStr">
        <is>
          <t>P0</t>
        </is>
      </c>
      <c r="G58" t="inlineStr">
        <is>
          <t>Live journal entry date tomorrow.</t>
        </is>
      </c>
      <c r="H58" t="inlineStr">
        <is>
          <t>future date</t>
        </is>
      </c>
      <c r="I58" t="inlineStr">
        <is>
          <t>Error: cannot be in future.</t>
        </is>
      </c>
      <c r="J58" t="inlineStr">
        <is>
          <t>— Not tested</t>
        </is>
      </c>
      <c r="K58" t="inlineStr">
        <is>
          <t>— Not tested</t>
        </is>
      </c>
      <c r="L58" t="inlineStr">
        <is>
          <t>— Not tested</t>
        </is>
      </c>
    </row>
    <row r="59">
      <c r="A59" t="n">
        <v>343</v>
      </c>
      <c r="B59" t="inlineStr">
        <is>
          <t>3 — Trades</t>
        </is>
      </c>
      <c r="C59" t="n">
        <v>31</v>
      </c>
      <c r="D59" t="inlineStr">
        <is>
          <t>Add Trade — Validation Errors</t>
        </is>
      </c>
      <c r="E59" t="inlineStr">
        <is>
          <t>Logic</t>
        </is>
      </c>
      <c r="F59" t="inlineStr">
        <is>
          <t>P0</t>
        </is>
      </c>
      <c r="G59" t="inlineStr">
        <is>
          <t>Backtest entry datetime in future.</t>
        </is>
      </c>
      <c r="H59" t="inlineStr">
        <is>
          <t>future datetime</t>
        </is>
      </c>
      <c r="I59" t="inlineStr">
        <is>
          <t>Error: cannot be in future.</t>
        </is>
      </c>
      <c r="J59" t="inlineStr">
        <is>
          <t>— Not tested</t>
        </is>
      </c>
      <c r="K59" t="inlineStr">
        <is>
          <t>— Not tested</t>
        </is>
      </c>
      <c r="L59" t="inlineStr">
        <is>
          <t>— Not tested</t>
        </is>
      </c>
    </row>
    <row r="60">
      <c r="A60" t="n">
        <v>344</v>
      </c>
      <c r="B60" t="inlineStr">
        <is>
          <t>3 — Trades</t>
        </is>
      </c>
      <c r="C60" t="n">
        <v>31</v>
      </c>
      <c r="D60" t="inlineStr">
        <is>
          <t>Add Trade — Validation Errors</t>
        </is>
      </c>
      <c r="E60" t="inlineStr">
        <is>
          <t>Logic</t>
        </is>
      </c>
      <c r="F60" t="inlineStr">
        <is>
          <t>P0</t>
        </is>
      </c>
      <c r="G60" t="inlineStr">
        <is>
          <t>Entry row price=0.</t>
        </is>
      </c>
      <c r="H60" t="inlineStr">
        <is>
          <t>0</t>
        </is>
      </c>
      <c r="I60" t="inlineStr">
        <is>
          <t>Error: price and size &gt; 0.</t>
        </is>
      </c>
      <c r="J60" t="inlineStr">
        <is>
          <t>— Not tested</t>
        </is>
      </c>
      <c r="K60" t="inlineStr">
        <is>
          <t>— Not tested</t>
        </is>
      </c>
      <c r="L60" t="inlineStr">
        <is>
          <t>— Not tested</t>
        </is>
      </c>
    </row>
    <row r="61">
      <c r="A61" t="n">
        <v>345</v>
      </c>
      <c r="B61" t="inlineStr">
        <is>
          <t>3 — Trades</t>
        </is>
      </c>
      <c r="C61" t="n">
        <v>31</v>
      </c>
      <c r="D61" t="inlineStr">
        <is>
          <t>Add Trade — Validation Errors</t>
        </is>
      </c>
      <c r="E61" t="inlineStr">
        <is>
          <t>Logic</t>
        </is>
      </c>
      <c r="F61" t="inlineStr">
        <is>
          <t>P0</t>
        </is>
      </c>
      <c r="G61" t="inlineStr">
        <is>
          <t>Entry row qty=0.</t>
        </is>
      </c>
      <c r="H61" t="inlineStr">
        <is>
          <t>0</t>
        </is>
      </c>
      <c r="I61" t="inlineStr">
        <is>
          <t>Error: price and size &gt; 0.</t>
        </is>
      </c>
      <c r="J61" t="inlineStr">
        <is>
          <t>— Not tested</t>
        </is>
      </c>
      <c r="K61" t="inlineStr">
        <is>
          <t>— Not tested</t>
        </is>
      </c>
      <c r="L61" t="inlineStr">
        <is>
          <t>— Not tested</t>
        </is>
      </c>
    </row>
    <row r="62">
      <c r="A62" t="n">
        <v>346</v>
      </c>
      <c r="B62" t="inlineStr">
        <is>
          <t>3 — Trades</t>
        </is>
      </c>
      <c r="C62" t="n">
        <v>31</v>
      </c>
      <c r="D62" t="inlineStr">
        <is>
          <t>Add Trade — Validation Errors</t>
        </is>
      </c>
      <c r="E62" t="inlineStr">
        <is>
          <t>Logic</t>
        </is>
      </c>
      <c r="F62" t="inlineStr">
        <is>
          <t>P0</t>
        </is>
      </c>
      <c r="G62" t="inlineStr">
        <is>
          <t>Missing stop loss.</t>
        </is>
      </c>
      <c r="H62" t="inlineStr">
        <is>
          <t>empty SL</t>
        </is>
      </c>
      <c r="I62" t="inlineStr">
        <is>
          <t>Error: SL required.</t>
        </is>
      </c>
      <c r="J62" t="inlineStr">
        <is>
          <t>— Not tested</t>
        </is>
      </c>
      <c r="K62" t="inlineStr">
        <is>
          <t>— Not tested</t>
        </is>
      </c>
      <c r="L62" t="inlineStr">
        <is>
          <t>— Not tested</t>
        </is>
      </c>
    </row>
    <row r="63">
      <c r="A63" t="n">
        <v>347</v>
      </c>
      <c r="B63" t="inlineStr">
        <is>
          <t>3 — Trades</t>
        </is>
      </c>
      <c r="C63" t="n">
        <v>31</v>
      </c>
      <c r="D63" t="inlineStr">
        <is>
          <t>Add Trade — Validation Errors</t>
        </is>
      </c>
      <c r="E63" t="inlineStr">
        <is>
          <t>Logic</t>
        </is>
      </c>
      <c r="F63" t="inlineStr">
        <is>
          <t>P0</t>
        </is>
      </c>
      <c r="G63" t="inlineStr">
        <is>
          <t>LONG SL above entry.</t>
        </is>
      </c>
      <c r="H63" t="inlineStr">
        <is>
          <t>SL&gt;entry</t>
        </is>
      </c>
      <c r="I63" t="inlineStr">
        <is>
          <t>Error: SL below entries.</t>
        </is>
      </c>
      <c r="J63" t="inlineStr">
        <is>
          <t>— Not tested</t>
        </is>
      </c>
      <c r="K63" t="inlineStr">
        <is>
          <t>— Not tested</t>
        </is>
      </c>
      <c r="L63" t="inlineStr">
        <is>
          <t>— Not tested</t>
        </is>
      </c>
    </row>
    <row r="64">
      <c r="A64" t="n">
        <v>348</v>
      </c>
      <c r="B64" t="inlineStr">
        <is>
          <t>3 — Trades</t>
        </is>
      </c>
      <c r="C64" t="n">
        <v>31</v>
      </c>
      <c r="D64" t="inlineStr">
        <is>
          <t>Add Trade — Validation Errors</t>
        </is>
      </c>
      <c r="E64" t="inlineStr">
        <is>
          <t>Logic</t>
        </is>
      </c>
      <c r="F64" t="inlineStr">
        <is>
          <t>P0</t>
        </is>
      </c>
      <c r="G64" t="inlineStr">
        <is>
          <t>SHORT SL below entry.</t>
        </is>
      </c>
      <c r="H64" t="inlineStr">
        <is>
          <t>SL&lt;entry</t>
        </is>
      </c>
      <c r="I64" t="inlineStr">
        <is>
          <t>Error: SL above entries.</t>
        </is>
      </c>
      <c r="J64" t="inlineStr">
        <is>
          <t>— Not tested</t>
        </is>
      </c>
      <c r="K64" t="inlineStr">
        <is>
          <t>— Not tested</t>
        </is>
      </c>
      <c r="L64" t="inlineStr">
        <is>
          <t>— Not tested</t>
        </is>
      </c>
    </row>
    <row r="65">
      <c r="A65" t="n">
        <v>349</v>
      </c>
      <c r="B65" t="inlineStr">
        <is>
          <t>3 — Trades</t>
        </is>
      </c>
      <c r="C65" t="n">
        <v>31</v>
      </c>
      <c r="D65" t="inlineStr">
        <is>
          <t>Add Trade — Validation Errors</t>
        </is>
      </c>
      <c r="E65" t="inlineStr">
        <is>
          <t>Logic</t>
        </is>
      </c>
      <c r="F65" t="inlineStr">
        <is>
          <t>P0</t>
        </is>
      </c>
      <c r="G65" t="inlineStr">
        <is>
          <t>LONG target below entry.</t>
        </is>
      </c>
      <c r="H65" t="inlineStr">
        <is>
          <t>TP&lt;entry</t>
        </is>
      </c>
      <c r="I65" t="inlineStr">
        <is>
          <t>Error: targets above entries.</t>
        </is>
      </c>
      <c r="J65" t="inlineStr">
        <is>
          <t>— Not tested</t>
        </is>
      </c>
      <c r="K65" t="inlineStr">
        <is>
          <t>— Not tested</t>
        </is>
      </c>
      <c r="L65" t="inlineStr">
        <is>
          <t>— Not tested</t>
        </is>
      </c>
    </row>
    <row r="66">
      <c r="A66" t="n">
        <v>350</v>
      </c>
      <c r="B66" t="inlineStr">
        <is>
          <t>3 — Trades</t>
        </is>
      </c>
      <c r="C66" t="n">
        <v>31</v>
      </c>
      <c r="D66" t="inlineStr">
        <is>
          <t>Add Trade — Validation Errors</t>
        </is>
      </c>
      <c r="E66" t="inlineStr">
        <is>
          <t>Logic</t>
        </is>
      </c>
      <c r="F66" t="inlineStr">
        <is>
          <t>P0</t>
        </is>
      </c>
      <c r="G66" t="inlineStr">
        <is>
          <t>SHORT target above entry.</t>
        </is>
      </c>
      <c r="H66" t="inlineStr">
        <is>
          <t>TP&gt;entry</t>
        </is>
      </c>
      <c r="I66" t="inlineStr">
        <is>
          <t>Error: targets below entries.</t>
        </is>
      </c>
      <c r="J66" t="inlineStr">
        <is>
          <t>— Not tested</t>
        </is>
      </c>
      <c r="K66" t="inlineStr">
        <is>
          <t>— Not tested</t>
        </is>
      </c>
      <c r="L66" t="inlineStr">
        <is>
          <t>— Not tested</t>
        </is>
      </c>
    </row>
    <row r="67">
      <c r="A67" t="n">
        <v>351</v>
      </c>
      <c r="B67" t="inlineStr">
        <is>
          <t>3 — Trades</t>
        </is>
      </c>
      <c r="C67" t="n">
        <v>31</v>
      </c>
      <c r="D67" t="inlineStr">
        <is>
          <t>Add Trade — Validation Errors</t>
        </is>
      </c>
      <c r="E67" t="inlineStr">
        <is>
          <t>Logic</t>
        </is>
      </c>
      <c r="F67" t="inlineStr">
        <is>
          <t>P0</t>
        </is>
      </c>
      <c r="G67" t="inlineStr">
        <is>
          <t>Exit size &gt; entry size.</t>
        </is>
      </c>
      <c r="H67" t="inlineStr">
        <is>
          <t>exit&gt;entry</t>
        </is>
      </c>
      <c r="I67" t="inlineStr">
        <is>
          <t>Error: exited size exceeds entered.</t>
        </is>
      </c>
      <c r="J67" t="inlineStr">
        <is>
          <t>— Not tested</t>
        </is>
      </c>
      <c r="K67" t="inlineStr">
        <is>
          <t>— Not tested</t>
        </is>
      </c>
      <c r="L67" t="inlineStr">
        <is>
          <t>— Not tested</t>
        </is>
      </c>
    </row>
    <row r="68">
      <c r="A68" t="n">
        <v>352</v>
      </c>
      <c r="B68" t="inlineStr">
        <is>
          <t>3 — Trades</t>
        </is>
      </c>
      <c r="C68" t="n">
        <v>31</v>
      </c>
      <c r="D68" t="inlineStr">
        <is>
          <t>Add Trade — Validation Errors</t>
        </is>
      </c>
      <c r="E68" t="inlineStr">
        <is>
          <t>Logic</t>
        </is>
      </c>
      <c r="F68" t="inlineStr">
        <is>
          <t>P1</t>
        </is>
      </c>
      <c r="G68" t="inlineStr">
        <is>
          <t>Exit rows without exit timing ON.</t>
        </is>
      </c>
      <c r="H68" t="inlineStr">
        <is>
          <t>exits only</t>
        </is>
      </c>
      <c r="I68" t="inlineStr">
        <is>
          <t>Error: enable exit time or clear exits.</t>
        </is>
      </c>
      <c r="J68" t="inlineStr">
        <is>
          <t>— Not tested</t>
        </is>
      </c>
      <c r="K68" t="inlineStr">
        <is>
          <t>— Not tested</t>
        </is>
      </c>
      <c r="L68" t="inlineStr">
        <is>
          <t>— Not tested</t>
        </is>
      </c>
    </row>
    <row r="69">
      <c r="A69" t="n">
        <v>353</v>
      </c>
      <c r="B69" t="inlineStr">
        <is>
          <t>3 — Trades</t>
        </is>
      </c>
      <c r="C69" t="n">
        <v>31</v>
      </c>
      <c r="D69" t="inlineStr">
        <is>
          <t>Add Trade — Validation Errors</t>
        </is>
      </c>
      <c r="E69" t="inlineStr">
        <is>
          <t>Logic</t>
        </is>
      </c>
      <c r="F69" t="inlineStr">
        <is>
          <t>P1</t>
        </is>
      </c>
      <c r="G69" t="inlineStr">
        <is>
          <t>Exit timing ON but no exit rows.</t>
        </is>
      </c>
      <c r="H69" t="inlineStr">
        <is>
          <t>timing only</t>
        </is>
      </c>
      <c r="I69" t="inlineStr">
        <is>
          <t>Error: add exit or disable timing.</t>
        </is>
      </c>
      <c r="J69" t="inlineStr">
        <is>
          <t>— Not tested</t>
        </is>
      </c>
      <c r="K69" t="inlineStr">
        <is>
          <t>— Not tested</t>
        </is>
      </c>
      <c r="L69" t="inlineStr">
        <is>
          <t>— Not tested</t>
        </is>
      </c>
    </row>
    <row r="70">
      <c r="A70" t="n">
        <v>354</v>
      </c>
      <c r="B70" t="inlineStr">
        <is>
          <t>3 — Trades</t>
        </is>
      </c>
      <c r="C70" t="n">
        <v>31</v>
      </c>
      <c r="D70" t="inlineStr">
        <is>
          <t>Add Trade — Validation Errors</t>
        </is>
      </c>
      <c r="E70" t="inlineStr">
        <is>
          <t>Logic</t>
        </is>
      </c>
      <c r="F70" t="inlineStr">
        <is>
          <t>P0</t>
        </is>
      </c>
      <c r="G70" t="inlineStr">
        <is>
          <t>Exit before entry time.</t>
        </is>
      </c>
      <c r="H70" t="inlineStr">
        <is>
          <t>exit&lt;entry</t>
        </is>
      </c>
      <c r="I70" t="inlineStr">
        <is>
          <t>Error: exit after entry.</t>
        </is>
      </c>
      <c r="J70" t="inlineStr">
        <is>
          <t>— Not tested</t>
        </is>
      </c>
      <c r="K70" t="inlineStr">
        <is>
          <t>— Not tested</t>
        </is>
      </c>
      <c r="L70" t="inlineStr">
        <is>
          <t>— Not tested</t>
        </is>
      </c>
    </row>
    <row r="71">
      <c r="A71" t="n">
        <v>355</v>
      </c>
      <c r="B71" t="inlineStr">
        <is>
          <t>3 — Trades</t>
        </is>
      </c>
      <c r="C71" t="n">
        <v>31</v>
      </c>
      <c r="D71" t="inlineStr">
        <is>
          <t>Add Trade — Validation Errors</t>
        </is>
      </c>
      <c r="E71" t="inlineStr">
        <is>
          <t>Logic</t>
        </is>
      </c>
      <c r="F71" t="inlineStr">
        <is>
          <t>P1</t>
        </is>
      </c>
      <c r="G71" t="inlineStr">
        <is>
          <t>Exit date outside session range.</t>
        </is>
      </c>
      <c r="H71" t="inlineStr">
        <is>
          <t>outside</t>
        </is>
      </c>
      <c r="I71" t="inlineStr">
        <is>
          <t>Error: within session range.</t>
        </is>
      </c>
      <c r="J71" t="inlineStr">
        <is>
          <t>— Not tested</t>
        </is>
      </c>
      <c r="K71" t="inlineStr">
        <is>
          <t>— Not tested</t>
        </is>
      </c>
      <c r="L71" t="inlineStr">
        <is>
          <t>— Not tested</t>
        </is>
      </c>
    </row>
    <row r="72">
      <c r="A72" t="n">
        <v>356</v>
      </c>
      <c r="B72" t="inlineStr">
        <is>
          <t>3 — Trades</t>
        </is>
      </c>
      <c r="C72" t="n">
        <v>31</v>
      </c>
      <c r="D72" t="inlineStr">
        <is>
          <t>Add Trade — Validation Errors</t>
        </is>
      </c>
      <c r="E72" t="inlineStr">
        <is>
          <t>Logic</t>
        </is>
      </c>
      <c r="F72" t="inlineStr">
        <is>
          <t>P1</t>
        </is>
      </c>
      <c r="G72" t="inlineStr">
        <is>
          <t>Target price 0.</t>
        </is>
      </c>
      <c r="H72" t="inlineStr">
        <is>
          <t>TP=0</t>
        </is>
      </c>
      <c r="I72" t="inlineStr">
        <is>
          <t>Error: targets &gt; 0.</t>
        </is>
      </c>
      <c r="J72" t="inlineStr">
        <is>
          <t>— Not tested</t>
        </is>
      </c>
      <c r="K72" t="inlineStr">
        <is>
          <t>— Not tested</t>
        </is>
      </c>
      <c r="L72" t="inlineStr">
        <is>
          <t>— Not tested</t>
        </is>
      </c>
    </row>
    <row r="73">
      <c r="A73" t="n">
        <v>357</v>
      </c>
      <c r="B73" t="inlineStr">
        <is>
          <t>3 — Trades</t>
        </is>
      </c>
      <c r="C73" t="n">
        <v>31</v>
      </c>
      <c r="D73" t="inlineStr">
        <is>
          <t>Add Trade — Validation Errors</t>
        </is>
      </c>
      <c r="E73" t="inlineStr">
        <is>
          <t>Logic</t>
        </is>
      </c>
      <c r="F73" t="inlineStr">
        <is>
          <t>P1</t>
        </is>
      </c>
      <c r="G73" t="inlineStr">
        <is>
          <t>Negative commission.</t>
        </is>
      </c>
      <c r="H73" t="inlineStr">
        <is>
          <t>-1</t>
        </is>
      </c>
      <c r="I73" t="inlineStr">
        <is>
          <t>Error: commission &gt;= 0.</t>
        </is>
      </c>
      <c r="J73" t="inlineStr">
        <is>
          <t>— Not tested</t>
        </is>
      </c>
      <c r="K73" t="inlineStr">
        <is>
          <t>— Not tested</t>
        </is>
      </c>
      <c r="L73" t="inlineStr">
        <is>
          <t>— Not tested</t>
        </is>
      </c>
    </row>
    <row r="74">
      <c r="A74" t="n">
        <v>358</v>
      </c>
      <c r="B74" t="inlineStr">
        <is>
          <t>3 — Trades</t>
        </is>
      </c>
      <c r="C74" t="n">
        <v>31</v>
      </c>
      <c r="D74" t="inlineStr">
        <is>
          <t>Add Trade — Validation Errors</t>
        </is>
      </c>
      <c r="E74" t="inlineStr">
        <is>
          <t>Logic</t>
        </is>
      </c>
      <c r="F74" t="inlineStr">
        <is>
          <t>P1</t>
        </is>
      </c>
      <c r="G74" t="inlineStr">
        <is>
          <t>Negative spread.</t>
        </is>
      </c>
      <c r="H74" t="inlineStr">
        <is>
          <t>-1</t>
        </is>
      </c>
      <c r="I74" t="inlineStr">
        <is>
          <t>Error: spread &gt;= 0.</t>
        </is>
      </c>
      <c r="J74" t="inlineStr">
        <is>
          <t>— Not tested</t>
        </is>
      </c>
      <c r="K74" t="inlineStr">
        <is>
          <t>— Not tested</t>
        </is>
      </c>
      <c r="L74" t="inlineStr">
        <is>
          <t>— Not tested</t>
        </is>
      </c>
    </row>
    <row r="75">
      <c r="A75" t="n">
        <v>359</v>
      </c>
      <c r="B75" t="inlineStr">
        <is>
          <t>3 — Trades</t>
        </is>
      </c>
      <c r="C75" t="n">
        <v>32</v>
      </c>
      <c r="D75" t="inlineStr">
        <is>
          <t>Add Trade — Excursion MFE/MAE</t>
        </is>
      </c>
      <c r="E75" t="inlineStr">
        <is>
          <t>Logic</t>
        </is>
      </c>
      <c r="F75" t="inlineStr">
        <is>
          <t>P1</t>
        </is>
      </c>
      <c r="G75" t="inlineStr">
        <is>
          <t>Excursion mode None.</t>
        </is>
      </c>
      <c r="H75" t="inlineStr">
        <is>
          <t>none</t>
        </is>
      </c>
      <c r="I75" t="inlineStr">
        <is>
          <t>No high/low required; saves.</t>
        </is>
      </c>
      <c r="J75" t="inlineStr">
        <is>
          <t>— Not tested</t>
        </is>
      </c>
      <c r="K75" t="inlineStr">
        <is>
          <t>— Not tested</t>
        </is>
      </c>
      <c r="L75" t="inlineStr">
        <is>
          <t>— Not tested</t>
        </is>
      </c>
    </row>
    <row r="76">
      <c r="A76" t="n">
        <v>360</v>
      </c>
      <c r="B76" t="inlineStr">
        <is>
          <t>3 — Trades</t>
        </is>
      </c>
      <c r="C76" t="n">
        <v>32</v>
      </c>
      <c r="D76" t="inlineStr">
        <is>
          <t>Add Trade — Excursion MFE/MAE</t>
        </is>
      </c>
      <c r="E76" t="inlineStr">
        <is>
          <t>Logic</t>
        </is>
      </c>
      <c r="F76" t="inlineStr">
        <is>
          <t>P1</t>
        </is>
      </c>
      <c r="G76" t="inlineStr">
        <is>
          <t>Standard: high=105 low=95 entry=100.</t>
        </is>
      </c>
      <c r="H76" t="inlineStr">
        <is>
          <t>in range</t>
        </is>
      </c>
      <c r="I76" t="inlineStr">
        <is>
          <t>Saves; MFE/MAE calculate.</t>
        </is>
      </c>
      <c r="J76" t="inlineStr">
        <is>
          <t>— Not tested</t>
        </is>
      </c>
      <c r="K76" t="inlineStr">
        <is>
          <t>— Not tested</t>
        </is>
      </c>
      <c r="L76" t="inlineStr">
        <is>
          <t>— Not tested</t>
        </is>
      </c>
    </row>
    <row r="77">
      <c r="A77" t="n">
        <v>361</v>
      </c>
      <c r="B77" t="inlineStr">
        <is>
          <t>3 — Trades</t>
        </is>
      </c>
      <c r="C77" t="n">
        <v>32</v>
      </c>
      <c r="D77" t="inlineStr">
        <is>
          <t>Add Trade — Excursion MFE/MAE</t>
        </is>
      </c>
      <c r="E77" t="inlineStr">
        <is>
          <t>Logic</t>
        </is>
      </c>
      <c r="F77" t="inlineStr">
        <is>
          <t>P0</t>
        </is>
      </c>
      <c r="G77" t="inlineStr">
        <is>
          <t>Standard: high &lt;= low.</t>
        </is>
      </c>
      <c r="H77" t="inlineStr">
        <is>
          <t>high=95 low=100</t>
        </is>
      </c>
      <c r="I77" t="inlineStr">
        <is>
          <t>Error: high above low.</t>
        </is>
      </c>
      <c r="J77" t="inlineStr">
        <is>
          <t>— Not tested</t>
        </is>
      </c>
      <c r="K77" t="inlineStr">
        <is>
          <t>— Not tested</t>
        </is>
      </c>
      <c r="L77" t="inlineStr">
        <is>
          <t>— Not tested</t>
        </is>
      </c>
    </row>
    <row r="78">
      <c r="A78" t="n">
        <v>362</v>
      </c>
      <c r="B78" t="inlineStr">
        <is>
          <t>3 — Trades</t>
        </is>
      </c>
      <c r="C78" t="n">
        <v>32</v>
      </c>
      <c r="D78" t="inlineStr">
        <is>
          <t>Add Trade — Excursion MFE/MAE</t>
        </is>
      </c>
      <c r="E78" t="inlineStr">
        <is>
          <t>Logic</t>
        </is>
      </c>
      <c r="F78" t="inlineStr">
        <is>
          <t>P0</t>
        </is>
      </c>
      <c r="G78" t="inlineStr">
        <is>
          <t>Standard: entry outside high-low.</t>
        </is>
      </c>
      <c r="H78" t="inlineStr">
        <is>
          <t>entry=110</t>
        </is>
      </c>
      <c r="I78" t="inlineStr">
        <is>
          <t>Error: entry inside range.</t>
        </is>
      </c>
      <c r="J78" t="inlineStr">
        <is>
          <t>— Not tested</t>
        </is>
      </c>
      <c r="K78" t="inlineStr">
        <is>
          <t>— Not tested</t>
        </is>
      </c>
      <c r="L78" t="inlineStr">
        <is>
          <t>— Not tested</t>
        </is>
      </c>
    </row>
    <row r="79">
      <c r="A79" t="n">
        <v>363</v>
      </c>
      <c r="B79" t="inlineStr">
        <is>
          <t>3 — Trades</t>
        </is>
      </c>
      <c r="C79" t="n">
        <v>32</v>
      </c>
      <c r="D79" t="inlineStr">
        <is>
          <t>Add Trade — Excursion MFE/MAE</t>
        </is>
      </c>
      <c r="E79" t="inlineStr">
        <is>
          <t>Logic</t>
        </is>
      </c>
      <c r="F79" t="inlineStr">
        <is>
          <t>P1</t>
        </is>
      </c>
      <c r="G79" t="inlineStr">
        <is>
          <t>Standard: exit outside range.</t>
        </is>
      </c>
      <c r="H79" t="inlineStr">
        <is>
          <t>exit outside</t>
        </is>
      </c>
      <c r="I79" t="inlineStr">
        <is>
          <t>Error: exit inside range.</t>
        </is>
      </c>
      <c r="J79" t="inlineStr">
        <is>
          <t>— Not tested</t>
        </is>
      </c>
      <c r="K79" t="inlineStr">
        <is>
          <t>— Not tested</t>
        </is>
      </c>
      <c r="L79" t="inlineStr">
        <is>
          <t>— Not tested</t>
        </is>
      </c>
    </row>
    <row r="80">
      <c r="A80" t="n">
        <v>364</v>
      </c>
      <c r="B80" t="inlineStr">
        <is>
          <t>3 — Trades</t>
        </is>
      </c>
      <c r="C80" t="n">
        <v>32</v>
      </c>
      <c r="D80" t="inlineStr">
        <is>
          <t>Add Trade — Excursion MFE/MAE</t>
        </is>
      </c>
      <c r="E80" t="inlineStr">
        <is>
          <t>Logic</t>
        </is>
      </c>
      <c r="F80" t="inlineStr">
        <is>
          <t>P1</t>
        </is>
      </c>
      <c r="G80" t="inlineStr">
        <is>
          <t>Standard: range &gt;500R from entry.</t>
        </is>
      </c>
      <c r="H80" t="inlineStr">
        <is>
          <t>extreme range</t>
        </is>
      </c>
      <c r="I80" t="inlineStr">
        <is>
          <t>Error: too far to analyze.</t>
        </is>
      </c>
      <c r="J80" t="inlineStr">
        <is>
          <t>— Not tested</t>
        </is>
      </c>
      <c r="K80" t="inlineStr">
        <is>
          <t>— Not tested</t>
        </is>
      </c>
      <c r="L80" t="inlineStr">
        <is>
          <t>— Not tested</t>
        </is>
      </c>
    </row>
    <row r="81">
      <c r="A81" t="n">
        <v>365</v>
      </c>
      <c r="B81" t="inlineStr">
        <is>
          <t>3 — Trades</t>
        </is>
      </c>
      <c r="C81" t="n">
        <v>32</v>
      </c>
      <c r="D81" t="inlineStr">
        <is>
          <t>Add Trade — Excursion MFE/MAE</t>
        </is>
      </c>
      <c r="E81" t="inlineStr">
        <is>
          <t>Logic</t>
        </is>
      </c>
      <c r="F81" t="inlineStr">
        <is>
          <t>P2</t>
        </is>
      </c>
      <c r="G81" t="inlineStr">
        <is>
          <t>Extended: closed trade + post high/low + window 10.</t>
        </is>
      </c>
      <c r="H81" t="inlineStr">
        <is>
          <t>valid</t>
        </is>
      </c>
      <c r="I81" t="inlineStr">
        <is>
          <t>Saves.</t>
        </is>
      </c>
      <c r="J81" t="inlineStr">
        <is>
          <t>— Not tested</t>
        </is>
      </c>
      <c r="K81" t="inlineStr">
        <is>
          <t>— Not tested</t>
        </is>
      </c>
      <c r="L81" t="inlineStr">
        <is>
          <t>— Not tested</t>
        </is>
      </c>
    </row>
    <row r="82">
      <c r="A82" t="n">
        <v>366</v>
      </c>
      <c r="B82" t="inlineStr">
        <is>
          <t>3 — Trades</t>
        </is>
      </c>
      <c r="C82" t="n">
        <v>32</v>
      </c>
      <c r="D82" t="inlineStr">
        <is>
          <t>Add Trade — Excursion MFE/MAE</t>
        </is>
      </c>
      <c r="E82" t="inlineStr">
        <is>
          <t>Logic</t>
        </is>
      </c>
      <c r="F82" t="inlineStr">
        <is>
          <t>P1</t>
        </is>
      </c>
      <c r="G82" t="inlineStr">
        <is>
          <t>Extended on open trade.</t>
        </is>
      </c>
      <c r="H82" t="inlineStr">
        <is>
          <t>open</t>
        </is>
      </c>
      <c r="I82" t="inlineStr">
        <is>
          <t>Error: needs closed trade.</t>
        </is>
      </c>
      <c r="J82" t="inlineStr">
        <is>
          <t>— Not tested</t>
        </is>
      </c>
      <c r="K82" t="inlineStr">
        <is>
          <t>— Not tested</t>
        </is>
      </c>
      <c r="L82" t="inlineStr">
        <is>
          <t>— Not tested</t>
        </is>
      </c>
    </row>
    <row r="83">
      <c r="A83" t="n">
        <v>367</v>
      </c>
      <c r="B83" t="inlineStr">
        <is>
          <t>3 — Trades</t>
        </is>
      </c>
      <c r="C83" t="n">
        <v>32</v>
      </c>
      <c r="D83" t="inlineStr">
        <is>
          <t>Add Trade — Excursion MFE/MAE</t>
        </is>
      </c>
      <c r="E83" t="inlineStr">
        <is>
          <t>Logic</t>
        </is>
      </c>
      <c r="F83" t="inlineStr">
        <is>
          <t>P1</t>
        </is>
      </c>
      <c r="G83" t="inlineStr">
        <is>
          <t>Extended: post window 0.</t>
        </is>
      </c>
      <c r="H83" t="inlineStr">
        <is>
          <t>0</t>
        </is>
      </c>
      <c r="I83" t="inlineStr">
        <is>
          <t>Error: whole number &gt; 0.</t>
        </is>
      </c>
      <c r="J83" t="inlineStr">
        <is>
          <t>— Not tested</t>
        </is>
      </c>
      <c r="K83" t="inlineStr">
        <is>
          <t>— Not tested</t>
        </is>
      </c>
      <c r="L83" t="inlineStr">
        <is>
          <t>— Not tested</t>
        </is>
      </c>
    </row>
    <row r="84">
      <c r="A84" t="n">
        <v>368</v>
      </c>
      <c r="B84" t="inlineStr">
        <is>
          <t>3 — Trades</t>
        </is>
      </c>
      <c r="C84" t="n">
        <v>32</v>
      </c>
      <c r="D84" t="inlineStr">
        <is>
          <t>Add Trade — Excursion MFE/MAE</t>
        </is>
      </c>
      <c r="E84" t="inlineStr">
        <is>
          <t>Logic</t>
        </is>
      </c>
      <c r="F84" t="inlineStr">
        <is>
          <t>P2</t>
        </is>
      </c>
      <c r="G84" t="inlineStr">
        <is>
          <t>Extended: post window 1.5 (non-integer).</t>
        </is>
      </c>
      <c r="H84" t="inlineStr">
        <is>
          <t>1.5</t>
        </is>
      </c>
      <c r="I84" t="inlineStr">
        <is>
          <t>Error: whole number.</t>
        </is>
      </c>
      <c r="J84" t="inlineStr">
        <is>
          <t>— Not tested</t>
        </is>
      </c>
      <c r="K84" t="inlineStr">
        <is>
          <t>— Not tested</t>
        </is>
      </c>
      <c r="L84" t="inlineStr">
        <is>
          <t>— Not tested</t>
        </is>
      </c>
    </row>
    <row r="85">
      <c r="A85" t="n">
        <v>369</v>
      </c>
      <c r="B85" t="inlineStr">
        <is>
          <t>3 — Trades</t>
        </is>
      </c>
      <c r="C85" t="n">
        <v>32</v>
      </c>
      <c r="D85" t="inlineStr">
        <is>
          <t>Add Trade — Warnings (non-blocking)</t>
        </is>
      </c>
      <c r="E85" t="inlineStr">
        <is>
          <t>Edge</t>
        </is>
      </c>
      <c r="F85" t="inlineStr">
        <is>
          <t>P2</t>
        </is>
      </c>
      <c r="G85" t="inlineStr">
        <is>
          <t>Very wide stop → R &gt; 50.</t>
        </is>
      </c>
      <c r="H85" t="inlineStr">
        <is>
          <t>tiny stop distance</t>
        </is>
      </c>
      <c r="I85" t="inlineStr">
        <is>
          <t>Warning: unusually large R; can still save.</t>
        </is>
      </c>
      <c r="J85" t="inlineStr">
        <is>
          <t>— Not tested</t>
        </is>
      </c>
      <c r="K85" t="inlineStr">
        <is>
          <t>— Not tested</t>
        </is>
      </c>
      <c r="L85" t="inlineStr">
        <is>
          <t>— Not tested</t>
        </is>
      </c>
    </row>
    <row r="86">
      <c r="A86" t="n">
        <v>370</v>
      </c>
      <c r="B86" t="inlineStr">
        <is>
          <t>3 — Trades</t>
        </is>
      </c>
      <c r="C86" t="n">
        <v>32</v>
      </c>
      <c r="D86" t="inlineStr">
        <is>
          <t>Add Trade — Warnings (non-blocking)</t>
        </is>
      </c>
      <c r="E86" t="inlineStr">
        <is>
          <t>Edge</t>
        </is>
      </c>
      <c r="F86" t="inlineStr">
        <is>
          <t>P2</t>
        </is>
      </c>
      <c r="G86" t="inlineStr">
        <is>
          <t>No target set.</t>
        </is>
      </c>
      <c r="H86" t="inlineStr">
        <is>
          <t>empty TP</t>
        </is>
      </c>
      <c r="I86" t="inlineStr">
        <is>
          <t>Warning: planned R blank.</t>
        </is>
      </c>
      <c r="J86" t="inlineStr">
        <is>
          <t>— Not tested</t>
        </is>
      </c>
      <c r="K86" t="inlineStr">
        <is>
          <t>— Not tested</t>
        </is>
      </c>
      <c r="L86" t="inlineStr">
        <is>
          <t>— Not tested</t>
        </is>
      </c>
    </row>
    <row r="87">
      <c r="A87" t="n">
        <v>371</v>
      </c>
      <c r="B87" t="inlineStr">
        <is>
          <t>3 — Trades</t>
        </is>
      </c>
      <c r="C87" t="n">
        <v>32</v>
      </c>
      <c r="D87" t="inlineStr">
        <is>
          <t>Add Trade — Warnings (non-blocking)</t>
        </is>
      </c>
      <c r="E87" t="inlineStr">
        <is>
          <t>Edge</t>
        </is>
      </c>
      <c r="F87" t="inlineStr">
        <is>
          <t>P2</t>
        </is>
      </c>
      <c r="G87" t="inlineStr">
        <is>
          <t>No commission entered.</t>
        </is>
      </c>
      <c r="H87" t="inlineStr">
        <is>
          <t>empty</t>
        </is>
      </c>
      <c r="I87" t="inlineStr">
        <is>
          <t>Warning: net equals gross.</t>
        </is>
      </c>
      <c r="J87" t="inlineStr">
        <is>
          <t>— Not tested</t>
        </is>
      </c>
      <c r="K87" t="inlineStr">
        <is>
          <t>— Not tested</t>
        </is>
      </c>
      <c r="L87" t="inlineStr">
        <is>
          <t>— Not tested</t>
        </is>
      </c>
    </row>
    <row r="88">
      <c r="A88" t="n">
        <v>372</v>
      </c>
      <c r="B88" t="inlineStr">
        <is>
          <t>3 — Trades</t>
        </is>
      </c>
      <c r="C88" t="n">
        <v>33</v>
      </c>
      <c r="D88" t="inlineStr">
        <is>
          <t>Add Trade — Tags, Discipline, Notes</t>
        </is>
      </c>
      <c r="E88" t="inlineStr">
        <is>
          <t>Configuration</t>
        </is>
      </c>
      <c r="F88" t="inlineStr">
        <is>
          <t>P1</t>
        </is>
      </c>
      <c r="G88" t="inlineStr">
        <is>
          <t>Tags tab: select 3 pre-trade tags from strategy.</t>
        </is>
      </c>
      <c r="H88" t="inlineStr">
        <is>
          <t>3 tags</t>
        </is>
      </c>
      <c r="I88" t="inlineStr">
        <is>
          <t>Chips active.</t>
        </is>
      </c>
      <c r="J88" t="inlineStr">
        <is>
          <t>— Not tested</t>
        </is>
      </c>
      <c r="K88" t="inlineStr">
        <is>
          <t>— Not tested</t>
        </is>
      </c>
      <c r="L88" t="inlineStr">
        <is>
          <t>— Not tested</t>
        </is>
      </c>
    </row>
    <row r="89">
      <c r="A89" t="n">
        <v>373</v>
      </c>
      <c r="B89" t="inlineStr">
        <is>
          <t>3 — Trades</t>
        </is>
      </c>
      <c r="C89" t="n">
        <v>33</v>
      </c>
      <c r="D89" t="inlineStr">
        <is>
          <t>Add Trade — Tags, Discipline, Notes</t>
        </is>
      </c>
      <c r="E89" t="inlineStr">
        <is>
          <t>Configuration</t>
        </is>
      </c>
      <c r="F89" t="inlineStr">
        <is>
          <t>P1</t>
        </is>
      </c>
      <c r="G89" t="inlineStr">
        <is>
          <t>Tags tab: select 5 post-trade tags.</t>
        </is>
      </c>
      <c r="H89" t="inlineStr">
        <is>
          <t>5 tags</t>
        </is>
      </c>
      <c r="I89" t="inlineStr">
        <is>
          <t>All save.</t>
        </is>
      </c>
      <c r="J89" t="inlineStr">
        <is>
          <t>— Not tested</t>
        </is>
      </c>
      <c r="K89" t="inlineStr">
        <is>
          <t>— Not tested</t>
        </is>
      </c>
      <c r="L89" t="inlineStr">
        <is>
          <t>— Not tested</t>
        </is>
      </c>
    </row>
    <row r="90">
      <c r="A90" t="n">
        <v>374</v>
      </c>
      <c r="B90" t="inlineStr">
        <is>
          <t>3 — Trades</t>
        </is>
      </c>
      <c r="C90" t="n">
        <v>33</v>
      </c>
      <c r="D90" t="inlineStr">
        <is>
          <t>Add Trade — Tags, Discipline, Notes</t>
        </is>
      </c>
      <c r="E90" t="inlineStr">
        <is>
          <t>Configuration</t>
        </is>
      </c>
      <c r="F90" t="inlineStr">
        <is>
          <t>P0</t>
        </is>
      </c>
      <c r="G90" t="inlineStr">
        <is>
          <t>Strategy/setup required — select from dropdown.</t>
        </is>
      </c>
      <c r="H90" t="inlineStr">
        <is>
          <t>strategy</t>
        </is>
      </c>
      <c r="I90" t="inlineStr">
        <is>
          <t>Saves.</t>
        </is>
      </c>
      <c r="J90" t="inlineStr">
        <is>
          <t>— Not tested</t>
        </is>
      </c>
      <c r="K90" t="inlineStr">
        <is>
          <t>— Not tested</t>
        </is>
      </c>
      <c r="L90" t="inlineStr">
        <is>
          <t>— Not tested</t>
        </is>
      </c>
    </row>
    <row r="91">
      <c r="A91" t="n">
        <v>375</v>
      </c>
      <c r="B91" t="inlineStr">
        <is>
          <t>3 — Trades</t>
        </is>
      </c>
      <c r="C91" t="n">
        <v>33</v>
      </c>
      <c r="D91" t="inlineStr">
        <is>
          <t>Add Trade — Tags, Discipline, Notes</t>
        </is>
      </c>
      <c r="E91" t="inlineStr">
        <is>
          <t>Configuration</t>
        </is>
      </c>
      <c r="F91" t="inlineStr">
        <is>
          <t>P2</t>
        </is>
      </c>
      <c r="G91" t="inlineStr">
        <is>
          <t>Discipline tab (journal): plan review field.</t>
        </is>
      </c>
      <c r="H91" t="inlineStr">
        <is>
          <t>text</t>
        </is>
      </c>
      <c r="I91" t="inlineStr">
        <is>
          <t>Saves.</t>
        </is>
      </c>
      <c r="J91" t="inlineStr">
        <is>
          <t>— Not tested</t>
        </is>
      </c>
      <c r="K91" t="inlineStr">
        <is>
          <t>— Not tested</t>
        </is>
      </c>
      <c r="L91" t="inlineStr">
        <is>
          <t>— Not tested</t>
        </is>
      </c>
    </row>
    <row r="92">
      <c r="A92" t="n">
        <v>376</v>
      </c>
      <c r="B92" t="inlineStr">
        <is>
          <t>3 — Trades</t>
        </is>
      </c>
      <c r="C92" t="n">
        <v>33</v>
      </c>
      <c r="D92" t="inlineStr">
        <is>
          <t>Add Trade — Tags, Discipline, Notes</t>
        </is>
      </c>
      <c r="E92" t="inlineStr">
        <is>
          <t>Configuration</t>
        </is>
      </c>
      <c r="F92" t="inlineStr">
        <is>
          <t>P2</t>
        </is>
      </c>
      <c r="G92" t="inlineStr">
        <is>
          <t>Discipline: behavior tags multi-select.</t>
        </is>
      </c>
      <c r="H92" t="inlineStr">
        <is>
          <t>tags</t>
        </is>
      </c>
      <c r="I92" t="inlineStr">
        <is>
          <t>Saves.</t>
        </is>
      </c>
      <c r="J92" t="inlineStr">
        <is>
          <t>— Not tested</t>
        </is>
      </c>
      <c r="K92" t="inlineStr">
        <is>
          <t>— Not tested</t>
        </is>
      </c>
      <c r="L92" t="inlineStr">
        <is>
          <t>— Not tested</t>
        </is>
      </c>
    </row>
    <row r="93">
      <c r="A93" t="n">
        <v>377</v>
      </c>
      <c r="B93" t="inlineStr">
        <is>
          <t>3 — Trades</t>
        </is>
      </c>
      <c r="C93" t="n">
        <v>33</v>
      </c>
      <c r="D93" t="inlineStr">
        <is>
          <t>Add Trade — Tags, Discipline, Notes</t>
        </is>
      </c>
      <c r="E93" t="inlineStr">
        <is>
          <t>Configuration</t>
        </is>
      </c>
      <c r="F93" t="inlineStr">
        <is>
          <t>P2</t>
        </is>
      </c>
      <c r="G93" t="inlineStr">
        <is>
          <t>Notes: pre-trade 500 chars.</t>
        </is>
      </c>
      <c r="H93" t="inlineStr">
        <is>
          <t>500 chars</t>
        </is>
      </c>
      <c r="I93" t="inlineStr">
        <is>
          <t>Saves.</t>
        </is>
      </c>
      <c r="J93" t="inlineStr">
        <is>
          <t>— Not tested</t>
        </is>
      </c>
      <c r="K93" t="inlineStr">
        <is>
          <t>— Not tested</t>
        </is>
      </c>
      <c r="L93" t="inlineStr">
        <is>
          <t>— Not tested</t>
        </is>
      </c>
    </row>
    <row r="94">
      <c r="A94" t="n">
        <v>378</v>
      </c>
      <c r="B94" t="inlineStr">
        <is>
          <t>3 — Trades</t>
        </is>
      </c>
      <c r="C94" t="n">
        <v>33</v>
      </c>
      <c r="D94" t="inlineStr">
        <is>
          <t>Add Trade — Tags, Discipline, Notes</t>
        </is>
      </c>
      <c r="E94" t="inlineStr">
        <is>
          <t>Configuration</t>
        </is>
      </c>
      <c r="F94" t="inlineStr">
        <is>
          <t>P2</t>
        </is>
      </c>
      <c r="G94" t="inlineStr">
        <is>
          <t>Notes: post-trade empty.</t>
        </is>
      </c>
      <c r="H94" t="inlineStr">
        <is>
          <t>—</t>
        </is>
      </c>
      <c r="I94" t="inlineStr">
        <is>
          <t>Allowed.</t>
        </is>
      </c>
      <c r="J94" t="inlineStr">
        <is>
          <t>— Not tested</t>
        </is>
      </c>
      <c r="K94" t="inlineStr">
        <is>
          <t>— Not tested</t>
        </is>
      </c>
      <c r="L94" t="inlineStr">
        <is>
          <t>— Not tested</t>
        </is>
      </c>
    </row>
    <row r="95">
      <c r="A95" t="n">
        <v>379</v>
      </c>
      <c r="B95" t="inlineStr">
        <is>
          <t>3 — Trades</t>
        </is>
      </c>
      <c r="C95" t="n">
        <v>33</v>
      </c>
      <c r="D95" t="inlineStr">
        <is>
          <t>Add Trade — Tags, Discipline, Notes</t>
        </is>
      </c>
      <c r="E95" t="inlineStr">
        <is>
          <t>Configuration</t>
        </is>
      </c>
      <c r="F95" t="inlineStr">
        <is>
          <t>P1</t>
        </is>
      </c>
      <c r="G95" t="inlineStr">
        <is>
          <t>Screenshot pre: upload PNG.</t>
        </is>
      </c>
      <c r="H95" t="inlineStr">
        <is>
          <t>image</t>
        </is>
      </c>
      <c r="I95" t="inlineStr">
        <is>
          <t>Thumbnail shows.</t>
        </is>
      </c>
      <c r="J95" t="inlineStr">
        <is>
          <t>— Not tested</t>
        </is>
      </c>
      <c r="K95" t="inlineStr">
        <is>
          <t>— Not tested</t>
        </is>
      </c>
      <c r="L95" t="inlineStr">
        <is>
          <t>— Not tested</t>
        </is>
      </c>
    </row>
    <row r="96">
      <c r="A96" t="n">
        <v>380</v>
      </c>
      <c r="B96" t="inlineStr">
        <is>
          <t>3 — Trades</t>
        </is>
      </c>
      <c r="C96" t="n">
        <v>33</v>
      </c>
      <c r="D96" t="inlineStr">
        <is>
          <t>Add Trade — Tags, Discipline, Notes</t>
        </is>
      </c>
      <c r="E96" t="inlineStr">
        <is>
          <t>Configuration</t>
        </is>
      </c>
      <c r="F96" t="inlineStr">
        <is>
          <t>P2</t>
        </is>
      </c>
      <c r="G96" t="inlineStr">
        <is>
          <t>Screenshot post: upload 2 images if slots allow.</t>
        </is>
      </c>
      <c r="H96" t="inlineStr">
        <is>
          <t>2 images</t>
        </is>
      </c>
      <c r="I96" t="inlineStr">
        <is>
          <t>Both display.</t>
        </is>
      </c>
      <c r="J96" t="inlineStr">
        <is>
          <t>— Not tested</t>
        </is>
      </c>
      <c r="K96" t="inlineStr">
        <is>
          <t>— Not tested</t>
        </is>
      </c>
      <c r="L96" t="inlineStr">
        <is>
          <t>— Not tested</t>
        </is>
      </c>
    </row>
    <row r="97">
      <c r="A97" t="n">
        <v>381</v>
      </c>
      <c r="B97" t="inlineStr">
        <is>
          <t>3 — Trades</t>
        </is>
      </c>
      <c r="C97" t="n">
        <v>33</v>
      </c>
      <c r="D97" t="inlineStr">
        <is>
          <t>Add Trade — Tags, Discipline, Notes</t>
        </is>
      </c>
      <c r="E97" t="inlineStr">
        <is>
          <t>Configuration</t>
        </is>
      </c>
      <c r="F97" t="inlineStr">
        <is>
          <t>P1</t>
        </is>
      </c>
      <c r="G97" t="inlineStr">
        <is>
          <t>Save &amp; Add Another.</t>
        </is>
      </c>
      <c r="H97" t="inlineStr">
        <is>
          <t>—</t>
        </is>
      </c>
      <c r="I97" t="inlineStr">
        <is>
          <t>Trade saved; form resets.</t>
        </is>
      </c>
      <c r="J97" t="inlineStr">
        <is>
          <t>— Not tested</t>
        </is>
      </c>
      <c r="K97" t="inlineStr">
        <is>
          <t>— Not tested</t>
        </is>
      </c>
      <c r="L97" t="inlineStr">
        <is>
          <t>— Not tested</t>
        </is>
      </c>
    </row>
    <row r="98">
      <c r="A98" t="n">
        <v>382</v>
      </c>
      <c r="B98" t="inlineStr">
        <is>
          <t>3 — Trades</t>
        </is>
      </c>
      <c r="C98" t="n">
        <v>34</v>
      </c>
      <c r="D98" t="inlineStr">
        <is>
          <t>Add Trade — Persistence &amp; Edit</t>
        </is>
      </c>
      <c r="E98" t="inlineStr">
        <is>
          <t>Logic</t>
        </is>
      </c>
      <c r="F98" t="inlineStr">
        <is>
          <t>P0</t>
        </is>
      </c>
      <c r="G98" t="inlineStr">
        <is>
          <t>Save → verify row in table.</t>
        </is>
      </c>
      <c r="H98" t="inlineStr">
        <is>
          <t>—</t>
        </is>
      </c>
      <c r="I98" t="inlineStr">
        <is>
          <t>New row with correct P&amp;L.</t>
        </is>
      </c>
      <c r="J98" t="inlineStr">
        <is>
          <t>— Not tested</t>
        </is>
      </c>
      <c r="K98" t="inlineStr">
        <is>
          <t>— Not tested</t>
        </is>
      </c>
      <c r="L98" t="inlineStr">
        <is>
          <t>— Not tested</t>
        </is>
      </c>
    </row>
    <row r="99">
      <c r="A99" t="n">
        <v>383</v>
      </c>
      <c r="B99" t="inlineStr">
        <is>
          <t>3 — Trades</t>
        </is>
      </c>
      <c r="C99" t="n">
        <v>34</v>
      </c>
      <c r="D99" t="inlineStr">
        <is>
          <t>Add Trade — Persistence &amp; Edit</t>
        </is>
      </c>
      <c r="E99" t="inlineStr">
        <is>
          <t>Logic</t>
        </is>
      </c>
      <c r="F99" t="inlineStr">
        <is>
          <t>P0</t>
        </is>
      </c>
      <c r="G99" t="inlineStr">
        <is>
          <t>Edit trade → change SL → Save.</t>
        </is>
      </c>
      <c r="H99" t="inlineStr">
        <is>
          <t>—</t>
        </is>
      </c>
      <c r="I99" t="inlineStr">
        <is>
          <t>Row updates; R recalculates.</t>
        </is>
      </c>
      <c r="J99" t="inlineStr">
        <is>
          <t>— Not tested</t>
        </is>
      </c>
      <c r="K99" t="inlineStr">
        <is>
          <t>— Not tested</t>
        </is>
      </c>
      <c r="L99" t="inlineStr">
        <is>
          <t>— Not tested</t>
        </is>
      </c>
    </row>
    <row r="100">
      <c r="A100" t="n">
        <v>384</v>
      </c>
      <c r="B100" t="inlineStr">
        <is>
          <t>3 — Trades</t>
        </is>
      </c>
      <c r="C100" t="n">
        <v>34</v>
      </c>
      <c r="D100" t="inlineStr">
        <is>
          <t>Add Trade — Persistence &amp; Edit</t>
        </is>
      </c>
      <c r="E100" t="inlineStr">
        <is>
          <t>Logic</t>
        </is>
      </c>
      <c r="F100" t="inlineStr">
        <is>
          <t>P1</t>
        </is>
      </c>
      <c r="G100" t="inlineStr">
        <is>
          <t>Edit trade → change tags → Save.</t>
        </is>
      </c>
      <c r="H100" t="inlineStr">
        <is>
          <t>—</t>
        </is>
      </c>
      <c r="I100" t="inlineStr">
        <is>
          <t>Expanded row shows new tags.</t>
        </is>
      </c>
      <c r="J100" t="inlineStr">
        <is>
          <t>— Not tested</t>
        </is>
      </c>
      <c r="K100" t="inlineStr">
        <is>
          <t>— Not tested</t>
        </is>
      </c>
      <c r="L100" t="inlineStr">
        <is>
          <t>— Not tested</t>
        </is>
      </c>
    </row>
    <row r="101">
      <c r="A101" t="n">
        <v>385</v>
      </c>
      <c r="B101" t="inlineStr">
        <is>
          <t>3 — Trades</t>
        </is>
      </c>
      <c r="C101" t="n">
        <v>34</v>
      </c>
      <c r="D101" t="inlineStr">
        <is>
          <t>Add Trade — Persistence &amp; Edit</t>
        </is>
      </c>
      <c r="E101" t="inlineStr">
        <is>
          <t>Logic</t>
        </is>
      </c>
      <c r="F101" t="inlineStr">
        <is>
          <t>P2</t>
        </is>
      </c>
      <c r="G101" t="inlineStr">
        <is>
          <t>Delete trade if available.</t>
        </is>
      </c>
      <c r="H101" t="inlineStr">
        <is>
          <t>—</t>
        </is>
      </c>
      <c r="I101" t="inlineStr">
        <is>
          <t>Removed from table.</t>
        </is>
      </c>
      <c r="J101" t="inlineStr">
        <is>
          <t>— Not tested</t>
        </is>
      </c>
      <c r="K101" t="inlineStr">
        <is>
          <t>— Not tested</t>
        </is>
      </c>
      <c r="L101" t="inlineStr">
        <is>
          <t>— Not tested</t>
        </is>
      </c>
    </row>
    <row r="102">
      <c r="A102" t="n">
        <v>462</v>
      </c>
      <c r="B102" t="inlineStr">
        <is>
          <t>3 — Trades</t>
        </is>
      </c>
      <c r="C102" t="n">
        <v>45</v>
      </c>
      <c r="D102" t="inlineStr">
        <is>
          <t>Trades Table — Visuals &amp; Edge Data</t>
        </is>
      </c>
      <c r="E102" t="inlineStr">
        <is>
          <t>Structure</t>
        </is>
      </c>
      <c r="F102" t="inlineStr">
        <is>
          <t>P1</t>
        </is>
      </c>
      <c r="G102" t="inlineStr">
        <is>
          <t>Table with 0 trades.</t>
        </is>
      </c>
      <c r="H102" t="inlineStr">
        <is>
          <t>empty source</t>
        </is>
      </c>
      <c r="I102" t="inlineStr">
        <is>
          <t>Empty state message; Export disabled.</t>
        </is>
      </c>
      <c r="J102" t="inlineStr">
        <is>
          <t>— Not tested</t>
        </is>
      </c>
      <c r="K102" t="inlineStr">
        <is>
          <t>— Not tested</t>
        </is>
      </c>
      <c r="L102" t="inlineStr">
        <is>
          <t>— Not tested</t>
        </is>
      </c>
    </row>
    <row r="103">
      <c r="A103" t="n">
        <v>463</v>
      </c>
      <c r="B103" t="inlineStr">
        <is>
          <t>3 — Trades</t>
        </is>
      </c>
      <c r="C103" t="n">
        <v>45</v>
      </c>
      <c r="D103" t="inlineStr">
        <is>
          <t>Trades Table — Visuals &amp; Edge Data</t>
        </is>
      </c>
      <c r="E103" t="inlineStr">
        <is>
          <t>Structure</t>
        </is>
      </c>
      <c r="F103" t="inlineStr">
        <is>
          <t>P1</t>
        </is>
      </c>
      <c r="G103" t="inlineStr">
        <is>
          <t>Table with 1 trade.</t>
        </is>
      </c>
      <c r="H103" t="inlineStr">
        <is>
          <t>1 row</t>
        </is>
      </c>
      <c r="I103" t="inlineStr">
        <is>
          <t>Row renders; expand works.</t>
        </is>
      </c>
      <c r="J103" t="inlineStr">
        <is>
          <t>— Not tested</t>
        </is>
      </c>
      <c r="K103" t="inlineStr">
        <is>
          <t>— Not tested</t>
        </is>
      </c>
      <c r="L103" t="inlineStr">
        <is>
          <t>— Not tested</t>
        </is>
      </c>
    </row>
    <row r="104">
      <c r="A104" t="n">
        <v>464</v>
      </c>
      <c r="B104" t="inlineStr">
        <is>
          <t>3 — Trades</t>
        </is>
      </c>
      <c r="C104" t="n">
        <v>45</v>
      </c>
      <c r="D104" t="inlineStr">
        <is>
          <t>Trades Table — Visuals &amp; Edge Data</t>
        </is>
      </c>
      <c r="E104" t="inlineStr">
        <is>
          <t>Structure</t>
        </is>
      </c>
      <c r="F104" t="inlineStr">
        <is>
          <t>P2</t>
        </is>
      </c>
      <c r="G104" t="inlineStr">
        <is>
          <t>Table with 100+ trades.</t>
        </is>
      </c>
      <c r="H104" t="inlineStr">
        <is>
          <t>large set</t>
        </is>
      </c>
      <c r="I104" t="inlineStr">
        <is>
          <t>Scroll performance OK; sort works.</t>
        </is>
      </c>
      <c r="J104" t="inlineStr">
        <is>
          <t>— Not tested</t>
        </is>
      </c>
      <c r="K104" t="inlineStr">
        <is>
          <t>— Not tested</t>
        </is>
      </c>
      <c r="L104" t="inlineStr">
        <is>
          <t>— Not tested</t>
        </is>
      </c>
    </row>
    <row r="105">
      <c r="A105" t="n">
        <v>465</v>
      </c>
      <c r="B105" t="inlineStr">
        <is>
          <t>3 — Trades</t>
        </is>
      </c>
      <c r="C105" t="n">
        <v>45</v>
      </c>
      <c r="D105" t="inlineStr">
        <is>
          <t>Trades Table — Visuals &amp; Edge Data</t>
        </is>
      </c>
      <c r="E105" t="inlineStr">
        <is>
          <t>Structure</t>
        </is>
      </c>
      <c r="F105" t="inlineStr">
        <is>
          <t>P2</t>
        </is>
      </c>
      <c r="G105" t="inlineStr">
        <is>
          <t>Very long symbol name in row.</t>
        </is>
      </c>
      <c r="H105" t="inlineStr">
        <is>
          <t>long symbol</t>
        </is>
      </c>
      <c r="I105" t="inlineStr">
        <is>
          <t>Truncates with ellipsis.</t>
        </is>
      </c>
      <c r="J105" t="inlineStr">
        <is>
          <t>— Not tested</t>
        </is>
      </c>
      <c r="K105" t="inlineStr">
        <is>
          <t>— Not tested</t>
        </is>
      </c>
      <c r="L105" t="inlineStr">
        <is>
          <t>— Not tested</t>
        </is>
      </c>
    </row>
    <row r="106">
      <c r="A106" t="n">
        <v>466</v>
      </c>
      <c r="B106" t="inlineStr">
        <is>
          <t>3 — Trades</t>
        </is>
      </c>
      <c r="C106" t="n">
        <v>45</v>
      </c>
      <c r="D106" t="inlineStr">
        <is>
          <t>Trades Table — Visuals &amp; Edge Data</t>
        </is>
      </c>
      <c r="E106" t="inlineStr">
        <is>
          <t>Structure</t>
        </is>
      </c>
      <c r="F106" t="inlineStr">
        <is>
          <t>P2</t>
        </is>
      </c>
      <c r="G106" t="inlineStr">
        <is>
          <t>Trade with edited badge.</t>
        </is>
      </c>
      <c r="H106" t="inlineStr">
        <is>
          <t>edited trade</t>
        </is>
      </c>
      <c r="I106" t="inlineStr">
        <is>
          <t>Badge visible.</t>
        </is>
      </c>
      <c r="J106" t="inlineStr">
        <is>
          <t>— Not tested</t>
        </is>
      </c>
      <c r="K106" t="inlineStr">
        <is>
          <t>— Not tested</t>
        </is>
      </c>
      <c r="L106" t="inlineStr">
        <is>
          <t>— Not tested</t>
        </is>
      </c>
    </row>
    <row r="107">
      <c r="A107" t="n">
        <v>467</v>
      </c>
      <c r="B107" t="inlineStr">
        <is>
          <t>3 — Trades</t>
        </is>
      </c>
      <c r="C107" t="n">
        <v>45</v>
      </c>
      <c r="D107" t="inlineStr">
        <is>
          <t>Trades Table — Visuals &amp; Edge Data</t>
        </is>
      </c>
      <c r="E107" t="inlineStr">
        <is>
          <t>Structure</t>
        </is>
      </c>
      <c r="F107" t="inlineStr">
        <is>
          <t>P2</t>
        </is>
      </c>
      <c r="G107" t="inlineStr">
        <is>
          <t>Discipline: According to Plan label.</t>
        </is>
      </c>
      <c r="H107" t="inlineStr">
        <is>
          <t>—</t>
        </is>
      </c>
      <c r="I107" t="inlineStr">
        <is>
          <t>Green/neutral styling.</t>
        </is>
      </c>
      <c r="J107" t="inlineStr">
        <is>
          <t>— Not tested</t>
        </is>
      </c>
      <c r="K107" t="inlineStr">
        <is>
          <t>— Not tested</t>
        </is>
      </c>
      <c r="L107" t="inlineStr">
        <is>
          <t>— Not tested</t>
        </is>
      </c>
    </row>
    <row r="108">
      <c r="A108" t="n">
        <v>468</v>
      </c>
      <c r="B108" t="inlineStr">
        <is>
          <t>3 — Trades</t>
        </is>
      </c>
      <c r="C108" t="n">
        <v>45</v>
      </c>
      <c r="D108" t="inlineStr">
        <is>
          <t>Trades Table — Visuals &amp; Edge Data</t>
        </is>
      </c>
      <c r="E108" t="inlineStr">
        <is>
          <t>Structure</t>
        </is>
      </c>
      <c r="F108" t="inlineStr">
        <is>
          <t>P2</t>
        </is>
      </c>
      <c r="G108" t="inlineStr">
        <is>
          <t>Discipline: Out of Plan label.</t>
        </is>
      </c>
      <c r="H108" t="inlineStr">
        <is>
          <t>—</t>
        </is>
      </c>
      <c r="I108" t="inlineStr">
        <is>
          <t>Warning styling.</t>
        </is>
      </c>
      <c r="J108" t="inlineStr">
        <is>
          <t>— Not tested</t>
        </is>
      </c>
      <c r="K108" t="inlineStr">
        <is>
          <t>— Not tested</t>
        </is>
      </c>
      <c r="L108" t="inlineStr">
        <is>
          <t>— Not tested</t>
        </is>
      </c>
    </row>
    <row r="109">
      <c r="A109" t="n">
        <v>469</v>
      </c>
      <c r="B109" t="inlineStr">
        <is>
          <t>3 — Trades</t>
        </is>
      </c>
      <c r="C109" t="n">
        <v>45</v>
      </c>
      <c r="D109" t="inlineStr">
        <is>
          <t>Trades Table — Visuals &amp; Edge Data</t>
        </is>
      </c>
      <c r="E109" t="inlineStr">
        <is>
          <t>Structure</t>
        </is>
      </c>
      <c r="F109" t="inlineStr">
        <is>
          <t>P1</t>
        </is>
      </c>
      <c r="G109" t="inlineStr">
        <is>
          <t>Excursion chart in expanded row.</t>
        </is>
      </c>
      <c r="H109" t="inlineStr">
        <is>
          <t>trade with excursion</t>
        </is>
      </c>
      <c r="I109" t="inlineStr">
        <is>
          <t>Mini chart renders.</t>
        </is>
      </c>
      <c r="J109" t="inlineStr">
        <is>
          <t>— Not tested</t>
        </is>
      </c>
      <c r="K109" t="inlineStr">
        <is>
          <t>— Not tested</t>
        </is>
      </c>
      <c r="L109" t="inlineStr">
        <is>
          <t>— Not tested</t>
        </is>
      </c>
    </row>
    <row r="110">
      <c r="A110" t="n">
        <v>470</v>
      </c>
      <c r="B110" t="inlineStr">
        <is>
          <t>3 — Trades</t>
        </is>
      </c>
      <c r="C110" t="n">
        <v>45</v>
      </c>
      <c r="D110" t="inlineStr">
        <is>
          <t>Trades Table — Visuals &amp; Edge Data</t>
        </is>
      </c>
      <c r="E110" t="inlineStr">
        <is>
          <t>Structure</t>
        </is>
      </c>
      <c r="F110" t="inlineStr">
        <is>
          <t>P2</t>
        </is>
      </c>
      <c r="G110" t="inlineStr">
        <is>
          <t>Row with 4 pre screenshots.</t>
        </is>
      </c>
      <c r="H110" t="inlineStr">
        <is>
          <t>4 images</t>
        </is>
      </c>
      <c r="I110" t="inlineStr">
        <is>
          <t>All thumbnails visible.</t>
        </is>
      </c>
      <c r="J110" t="inlineStr">
        <is>
          <t>— Not tested</t>
        </is>
      </c>
      <c r="K110" t="inlineStr">
        <is>
          <t>— Not tested</t>
        </is>
      </c>
      <c r="L110" t="inlineStr">
        <is>
          <t>— Not tested</t>
        </is>
      </c>
    </row>
    <row r="111">
      <c r="A111" t="n">
        <v>471</v>
      </c>
      <c r="B111" t="inlineStr">
        <is>
          <t>3 — Trades</t>
        </is>
      </c>
      <c r="C111" t="n">
        <v>46</v>
      </c>
      <c r="D111" t="inlineStr">
        <is>
          <t>Add Trade — Date/Time Boundaries</t>
        </is>
      </c>
      <c r="E111" t="inlineStr">
        <is>
          <t>Edge</t>
        </is>
      </c>
      <c r="F111" t="inlineStr">
        <is>
          <t>P2</t>
        </is>
      </c>
      <c r="G111" t="inlineStr">
        <is>
          <t>Entry midnight 00:00.</t>
        </is>
      </c>
      <c r="H111" t="inlineStr">
        <is>
          <t>00:00</t>
        </is>
      </c>
      <c r="I111" t="inlineStr">
        <is>
          <t>Accepts; saves correctly.</t>
        </is>
      </c>
      <c r="J111" t="inlineStr">
        <is>
          <t>— Not tested</t>
        </is>
      </c>
      <c r="K111" t="inlineStr">
        <is>
          <t>— Not tested</t>
        </is>
      </c>
      <c r="L111" t="inlineStr">
        <is>
          <t>— Not tested</t>
        </is>
      </c>
    </row>
    <row r="112">
      <c r="A112" t="n">
        <v>472</v>
      </c>
      <c r="B112" t="inlineStr">
        <is>
          <t>3 — Trades</t>
        </is>
      </c>
      <c r="C112" t="n">
        <v>46</v>
      </c>
      <c r="D112" t="inlineStr">
        <is>
          <t>Add Trade — Date/Time Boundaries</t>
        </is>
      </c>
      <c r="E112" t="inlineStr">
        <is>
          <t>Edge</t>
        </is>
      </c>
      <c r="F112" t="inlineStr">
        <is>
          <t>P2</t>
        </is>
      </c>
      <c r="G112" t="inlineStr">
        <is>
          <t>Entry 23:59.</t>
        </is>
      </c>
      <c r="H112" t="inlineStr">
        <is>
          <t>23:59</t>
        </is>
      </c>
      <c r="I112" t="inlineStr">
        <is>
          <t>Accepts.</t>
        </is>
      </c>
      <c r="J112" t="inlineStr">
        <is>
          <t>— Not tested</t>
        </is>
      </c>
      <c r="K112" t="inlineStr">
        <is>
          <t>— Not tested</t>
        </is>
      </c>
      <c r="L112" t="inlineStr">
        <is>
          <t>— Not tested</t>
        </is>
      </c>
    </row>
    <row r="113">
      <c r="A113" t="n">
        <v>473</v>
      </c>
      <c r="B113" t="inlineStr">
        <is>
          <t>3 — Trades</t>
        </is>
      </c>
      <c r="C113" t="n">
        <v>46</v>
      </c>
      <c r="D113" t="inlineStr">
        <is>
          <t>Add Trade — Date/Time Boundaries</t>
        </is>
      </c>
      <c r="E113" t="inlineStr">
        <is>
          <t>Edge</t>
        </is>
      </c>
      <c r="F113" t="inlineStr">
        <is>
          <t>P1</t>
        </is>
      </c>
      <c r="G113" t="inlineStr">
        <is>
          <t>Entry date = session start date (boundary).</t>
        </is>
      </c>
      <c r="H113" t="inlineStr">
        <is>
          <t>start date</t>
        </is>
      </c>
      <c r="I113" t="inlineStr">
        <is>
          <t>Accepts.</t>
        </is>
      </c>
      <c r="J113" t="inlineStr">
        <is>
          <t>— Not tested</t>
        </is>
      </c>
      <c r="K113" t="inlineStr">
        <is>
          <t>— Not tested</t>
        </is>
      </c>
      <c r="L113" t="inlineStr">
        <is>
          <t>— Not tested</t>
        </is>
      </c>
    </row>
    <row r="114">
      <c r="A114" t="n">
        <v>474</v>
      </c>
      <c r="B114" t="inlineStr">
        <is>
          <t>3 — Trades</t>
        </is>
      </c>
      <c r="C114" t="n">
        <v>46</v>
      </c>
      <c r="D114" t="inlineStr">
        <is>
          <t>Add Trade — Date/Time Boundaries</t>
        </is>
      </c>
      <c r="E114" t="inlineStr">
        <is>
          <t>Edge</t>
        </is>
      </c>
      <c r="F114" t="inlineStr">
        <is>
          <t>P1</t>
        </is>
      </c>
      <c r="G114" t="inlineStr">
        <is>
          <t>Entry date = session end date (boundary).</t>
        </is>
      </c>
      <c r="H114" t="inlineStr">
        <is>
          <t>end date</t>
        </is>
      </c>
      <c r="I114" t="inlineStr">
        <is>
          <t>Accepts.</t>
        </is>
      </c>
      <c r="J114" t="inlineStr">
        <is>
          <t>— Not tested</t>
        </is>
      </c>
      <c r="K114" t="inlineStr">
        <is>
          <t>— Not tested</t>
        </is>
      </c>
      <c r="L114" t="inlineStr">
        <is>
          <t>— Not tested</t>
        </is>
      </c>
    </row>
    <row r="115">
      <c r="A115" t="n">
        <v>475</v>
      </c>
      <c r="B115" t="inlineStr">
        <is>
          <t>3 — Trades</t>
        </is>
      </c>
      <c r="C115" t="n">
        <v>46</v>
      </c>
      <c r="D115" t="inlineStr">
        <is>
          <t>Add Trade — Date/Time Boundaries</t>
        </is>
      </c>
      <c r="E115" t="inlineStr">
        <is>
          <t>Edge</t>
        </is>
      </c>
      <c r="F115" t="inlineStr">
        <is>
          <t>P1</t>
        </is>
      </c>
      <c r="G115" t="inlineStr">
        <is>
          <t>Exit 1 minute after entry.</t>
        </is>
      </c>
      <c r="H115" t="inlineStr">
        <is>
          <t>+1 min</t>
        </is>
      </c>
      <c r="I115" t="inlineStr">
        <is>
          <t>Accepts.</t>
        </is>
      </c>
      <c r="J115" t="inlineStr">
        <is>
          <t>— Not tested</t>
        </is>
      </c>
      <c r="K115" t="inlineStr">
        <is>
          <t>— Not tested</t>
        </is>
      </c>
      <c r="L115" t="inlineStr">
        <is>
          <t>— Not tested</t>
        </is>
      </c>
    </row>
    <row r="116">
      <c r="A116" t="n">
        <v>476</v>
      </c>
      <c r="B116" t="inlineStr">
        <is>
          <t>3 — Trades</t>
        </is>
      </c>
      <c r="C116" t="n">
        <v>46</v>
      </c>
      <c r="D116" t="inlineStr">
        <is>
          <t>Add Trade — Date/Time Boundaries</t>
        </is>
      </c>
      <c r="E116" t="inlineStr">
        <is>
          <t>Edge</t>
        </is>
      </c>
      <c r="F116" t="inlineStr">
        <is>
          <t>P1</t>
        </is>
      </c>
      <c r="G116" t="inlineStr">
        <is>
          <t>Exit same day, hours later.</t>
        </is>
      </c>
      <c r="H116" t="inlineStr">
        <is>
          <t>+8 hours</t>
        </is>
      </c>
      <c r="I116" t="inlineStr">
        <is>
          <t>Accepts.</t>
        </is>
      </c>
      <c r="J116" t="inlineStr">
        <is>
          <t>— Not tested</t>
        </is>
      </c>
      <c r="K116" t="inlineStr">
        <is>
          <t>— Not tested</t>
        </is>
      </c>
      <c r="L116" t="inlineStr">
        <is>
          <t>— Not tested</t>
        </is>
      </c>
    </row>
    <row r="117">
      <c r="A117" t="n">
        <v>477</v>
      </c>
      <c r="B117" t="inlineStr">
        <is>
          <t>3 — Trades</t>
        </is>
      </c>
      <c r="C117" t="n">
        <v>47</v>
      </c>
      <c r="D117" t="inlineStr">
        <is>
          <t>Add Trade — Multi-Entry/Target Math</t>
        </is>
      </c>
      <c r="E117" t="inlineStr">
        <is>
          <t>Logic</t>
        </is>
      </c>
      <c r="F117" t="inlineStr">
        <is>
          <t>P1</t>
        </is>
      </c>
      <c r="G117" t="inlineStr">
        <is>
          <t>Scale-in lower avg: entries 100+90, qty equal.</t>
        </is>
      </c>
      <c r="H117" t="inlineStr">
        <is>
          <t>100,90</t>
        </is>
      </c>
      <c r="I117" t="inlineStr">
        <is>
          <t>Avg entry 95.</t>
        </is>
      </c>
      <c r="J117" t="inlineStr">
        <is>
          <t>— Not tested</t>
        </is>
      </c>
      <c r="K117" t="inlineStr">
        <is>
          <t>— Not tested</t>
        </is>
      </c>
      <c r="L117" t="inlineStr">
        <is>
          <t>— Not tested</t>
        </is>
      </c>
    </row>
    <row r="118">
      <c r="A118" t="n">
        <v>478</v>
      </c>
      <c r="B118" t="inlineStr">
        <is>
          <t>3 — Trades</t>
        </is>
      </c>
      <c r="C118" t="n">
        <v>47</v>
      </c>
      <c r="D118" t="inlineStr">
        <is>
          <t>Add Trade — Multi-Entry/Target Math</t>
        </is>
      </c>
      <c r="E118" t="inlineStr">
        <is>
          <t>Logic</t>
        </is>
      </c>
      <c r="F118" t="inlineStr">
        <is>
          <t>P1</t>
        </is>
      </c>
      <c r="G118" t="inlineStr">
        <is>
          <t>Scale-in higher avg: entries 90+100.</t>
        </is>
      </c>
      <c r="H118" t="inlineStr">
        <is>
          <t>90,100</t>
        </is>
      </c>
      <c r="I118" t="inlineStr">
        <is>
          <t>Avg entry 95.</t>
        </is>
      </c>
      <c r="J118" t="inlineStr">
        <is>
          <t>— Not tested</t>
        </is>
      </c>
      <c r="K118" t="inlineStr">
        <is>
          <t>— Not tested</t>
        </is>
      </c>
      <c r="L118" t="inlineStr">
        <is>
          <t>— Not tested</t>
        </is>
      </c>
    </row>
    <row r="119">
      <c r="A119" t="n">
        <v>479</v>
      </c>
      <c r="B119" t="inlineStr">
        <is>
          <t>3 — Trades</t>
        </is>
      </c>
      <c r="C119" t="n">
        <v>47</v>
      </c>
      <c r="D119" t="inlineStr">
        <is>
          <t>Add Trade — Multi-Entry/Target Math</t>
        </is>
      </c>
      <c r="E119" t="inlineStr">
        <is>
          <t>Logic</t>
        </is>
      </c>
      <c r="F119" t="inlineStr">
        <is>
          <t>P2</t>
        </is>
      </c>
      <c r="G119" t="inlineStr">
        <is>
          <t>Unequal qty weighting: 10@100 + 1@110.</t>
        </is>
      </c>
      <c r="H119" t="inlineStr">
        <is>
          <t>weighted</t>
        </is>
      </c>
      <c r="I119" t="inlineStr">
        <is>
          <t>Avg closer to 100.</t>
        </is>
      </c>
      <c r="J119" t="inlineStr">
        <is>
          <t>— Not tested</t>
        </is>
      </c>
      <c r="K119" t="inlineStr">
        <is>
          <t>— Not tested</t>
        </is>
      </c>
      <c r="L119" t="inlineStr">
        <is>
          <t>— Not tested</t>
        </is>
      </c>
    </row>
    <row r="120">
      <c r="A120" t="n">
        <v>480</v>
      </c>
      <c r="B120" t="inlineStr">
        <is>
          <t>3 — Trades</t>
        </is>
      </c>
      <c r="C120" t="n">
        <v>47</v>
      </c>
      <c r="D120" t="inlineStr">
        <is>
          <t>Add Trade — Multi-Entry/Target Math</t>
        </is>
      </c>
      <c r="E120" t="inlineStr">
        <is>
          <t>Logic</t>
        </is>
      </c>
      <c r="F120" t="inlineStr">
        <is>
          <t>P2</t>
        </is>
      </c>
      <c r="G120" t="inlineStr">
        <is>
          <t>3 targets at 1R 2R 3R.</t>
        </is>
      </c>
      <c r="H120" t="inlineStr">
        <is>
          <t>3 TPs</t>
        </is>
      </c>
      <c r="I120" t="inlineStr">
        <is>
          <t>Planned R reflects nearest or blended — note.</t>
        </is>
      </c>
      <c r="J120" t="inlineStr">
        <is>
          <t>— Not tested</t>
        </is>
      </c>
      <c r="K120" t="inlineStr">
        <is>
          <t>— Not tested</t>
        </is>
      </c>
      <c r="L120" t="inlineStr">
        <is>
          <t>— Not tested</t>
        </is>
      </c>
    </row>
    <row r="121">
      <c r="A121" t="n">
        <v>496</v>
      </c>
      <c r="B121" t="inlineStr">
        <is>
          <t>3 — Trades</t>
        </is>
      </c>
      <c r="C121" t="n">
        <v>49</v>
      </c>
      <c r="D121" t="inlineStr">
        <is>
          <t>Abuse &amp; Security Inputs</t>
        </is>
      </c>
      <c r="E121" t="inlineStr">
        <is>
          <t>Extreme</t>
        </is>
      </c>
      <c r="F121" t="inlineStr">
        <is>
          <t>P1</t>
        </is>
      </c>
      <c r="G121" t="inlineStr">
        <is>
          <t>Trade notes HTML paste</t>
        </is>
      </c>
      <c r="H121" t="inlineStr">
        <is>
          <t>&lt;b&gt;bold&lt;/b&gt;</t>
        </is>
      </c>
      <c r="I121" t="inlineStr">
        <is>
          <t>Plain text or sanitized.</t>
        </is>
      </c>
      <c r="J121" t="inlineStr">
        <is>
          <t>— Not tested</t>
        </is>
      </c>
      <c r="K121" t="inlineStr">
        <is>
          <t>— Not tested</t>
        </is>
      </c>
      <c r="L121" t="inlineStr">
        <is>
          <t>— Not tested</t>
        </is>
      </c>
    </row>
    <row r="122">
      <c r="A122" t="n">
        <v>497</v>
      </c>
      <c r="B122" t="inlineStr">
        <is>
          <t>3 — Trades</t>
        </is>
      </c>
      <c r="C122" t="n">
        <v>49</v>
      </c>
      <c r="D122" t="inlineStr">
        <is>
          <t>Abuse &amp; Security Inputs</t>
        </is>
      </c>
      <c r="E122" t="inlineStr">
        <is>
          <t>Extreme</t>
        </is>
      </c>
      <c r="F122" t="inlineStr">
        <is>
          <t>P2</t>
        </is>
      </c>
      <c r="G122" t="inlineStr">
        <is>
          <t>Paste 10000 char note</t>
        </is>
      </c>
      <c r="H122" t="inlineStr">
        <is>
          <t>10k chars</t>
        </is>
      </c>
      <c r="I122" t="inlineStr">
        <is>
          <t>Truncated or scroll; no crash.</t>
        </is>
      </c>
      <c r="J122" t="inlineStr">
        <is>
          <t>— Not tested</t>
        </is>
      </c>
      <c r="K122" t="inlineStr">
        <is>
          <t>— Not tested</t>
        </is>
      </c>
      <c r="L122" t="inlineStr">
        <is>
          <t>— Not tested</t>
        </is>
      </c>
    </row>
    <row r="123">
      <c r="A123" t="n">
        <v>500</v>
      </c>
      <c r="B123" t="inlineStr">
        <is>
          <t>3 — Trades</t>
        </is>
      </c>
      <c r="C123" t="n">
        <v>50</v>
      </c>
      <c r="D123" t="inlineStr">
        <is>
          <t>Responsive Layout — Trades</t>
        </is>
      </c>
      <c r="E123" t="inlineStr">
        <is>
          <t>Structure</t>
        </is>
      </c>
      <c r="F123" t="inlineStr">
        <is>
          <t>P2</t>
        </is>
      </c>
      <c r="G123" t="inlineStr">
        <is>
          <t>Trades table at **2560px**.</t>
        </is>
      </c>
      <c r="H123" t="inlineStr">
        <is>
          <t>2560px</t>
        </is>
      </c>
      <c r="I123" t="inlineStr">
        <is>
          <t>Horizontal scroll or column wrap OK.</t>
        </is>
      </c>
      <c r="J123" t="inlineStr">
        <is>
          <t>— Not tested</t>
        </is>
      </c>
      <c r="K123" t="inlineStr">
        <is>
          <t>— Not tested</t>
        </is>
      </c>
      <c r="L123" t="inlineStr">
        <is>
          <t>— Not tested</t>
        </is>
      </c>
    </row>
    <row r="124">
      <c r="A124" t="n">
        <v>504</v>
      </c>
      <c r="B124" t="inlineStr">
        <is>
          <t>3 — Trades</t>
        </is>
      </c>
      <c r="C124" t="n">
        <v>50</v>
      </c>
      <c r="D124" t="inlineStr">
        <is>
          <t>Responsive Layout — Trades</t>
        </is>
      </c>
      <c r="E124" t="inlineStr">
        <is>
          <t>Structure</t>
        </is>
      </c>
      <c r="F124" t="inlineStr">
        <is>
          <t>P2</t>
        </is>
      </c>
      <c r="G124" t="inlineStr">
        <is>
          <t>Trades table at **1920px**.</t>
        </is>
      </c>
      <c r="H124" t="inlineStr">
        <is>
          <t>1920px</t>
        </is>
      </c>
      <c r="I124" t="inlineStr">
        <is>
          <t>Horizontal scroll or column wrap OK.</t>
        </is>
      </c>
      <c r="J124" t="inlineStr">
        <is>
          <t>— Not tested</t>
        </is>
      </c>
      <c r="K124" t="inlineStr">
        <is>
          <t>— Not tested</t>
        </is>
      </c>
      <c r="L124" t="inlineStr">
        <is>
          <t>— Not tested</t>
        </is>
      </c>
    </row>
    <row r="125">
      <c r="A125" t="n">
        <v>508</v>
      </c>
      <c r="B125" t="inlineStr">
        <is>
          <t>3 — Trades</t>
        </is>
      </c>
      <c r="C125" t="n">
        <v>50</v>
      </c>
      <c r="D125" t="inlineStr">
        <is>
          <t>Responsive Layout — Trades</t>
        </is>
      </c>
      <c r="E125" t="inlineStr">
        <is>
          <t>Structure</t>
        </is>
      </c>
      <c r="F125" t="inlineStr">
        <is>
          <t>P2</t>
        </is>
      </c>
      <c r="G125" t="inlineStr">
        <is>
          <t>Trades table at **1440px**.</t>
        </is>
      </c>
      <c r="H125" t="inlineStr">
        <is>
          <t>1440px</t>
        </is>
      </c>
      <c r="I125" t="inlineStr">
        <is>
          <t>Horizontal scroll or column wrap OK.</t>
        </is>
      </c>
      <c r="J125" t="inlineStr">
        <is>
          <t>— Not tested</t>
        </is>
      </c>
      <c r="K125" t="inlineStr">
        <is>
          <t>— Not tested</t>
        </is>
      </c>
      <c r="L125" t="inlineStr">
        <is>
          <t>— Not tested</t>
        </is>
      </c>
    </row>
    <row r="126">
      <c r="A126" t="n">
        <v>512</v>
      </c>
      <c r="B126" t="inlineStr">
        <is>
          <t>3 — Trades</t>
        </is>
      </c>
      <c r="C126" t="n">
        <v>50</v>
      </c>
      <c r="D126" t="inlineStr">
        <is>
          <t>Responsive Layout — Trades</t>
        </is>
      </c>
      <c r="E126" t="inlineStr">
        <is>
          <t>Structure</t>
        </is>
      </c>
      <c r="F126" t="inlineStr">
        <is>
          <t>P2</t>
        </is>
      </c>
      <c r="G126" t="inlineStr">
        <is>
          <t>Trades table at **1280px**.</t>
        </is>
      </c>
      <c r="H126" t="inlineStr">
        <is>
          <t>1280px</t>
        </is>
      </c>
      <c r="I126" t="inlineStr">
        <is>
          <t>Horizontal scroll or column wrap OK.</t>
        </is>
      </c>
      <c r="J126" t="inlineStr">
        <is>
          <t>— Not tested</t>
        </is>
      </c>
      <c r="K126" t="inlineStr">
        <is>
          <t>— Not tested</t>
        </is>
      </c>
      <c r="L126" t="inlineStr">
        <is>
          <t>— Not tested</t>
        </is>
      </c>
    </row>
    <row r="127">
      <c r="A127" t="n">
        <v>516</v>
      </c>
      <c r="B127" t="inlineStr">
        <is>
          <t>3 — Trades</t>
        </is>
      </c>
      <c r="C127" t="n">
        <v>50</v>
      </c>
      <c r="D127" t="inlineStr">
        <is>
          <t>Responsive Layout — Trades</t>
        </is>
      </c>
      <c r="E127" t="inlineStr">
        <is>
          <t>Structure</t>
        </is>
      </c>
      <c r="F127" t="inlineStr">
        <is>
          <t>P2</t>
        </is>
      </c>
      <c r="G127" t="inlineStr">
        <is>
          <t>Trades table at **1024px**.</t>
        </is>
      </c>
      <c r="H127" t="inlineStr">
        <is>
          <t>1024px</t>
        </is>
      </c>
      <c r="I127" t="inlineStr">
        <is>
          <t>Horizontal scroll or column wrap OK.</t>
        </is>
      </c>
      <c r="J127" t="inlineStr">
        <is>
          <t>— Not tested</t>
        </is>
      </c>
      <c r="K127" t="inlineStr">
        <is>
          <t>— Not tested</t>
        </is>
      </c>
      <c r="L127" t="inlineStr">
        <is>
          <t>— Not tested</t>
        </is>
      </c>
    </row>
    <row r="128">
      <c r="A128" t="n">
        <v>528</v>
      </c>
      <c r="B128" t="inlineStr">
        <is>
          <t>3 — Trades</t>
        </is>
      </c>
      <c r="C128" t="n">
        <v>53</v>
      </c>
      <c r="D128" t="inlineStr">
        <is>
          <t>Trades — Import/Export File Matrix</t>
        </is>
      </c>
      <c r="E128" t="inlineStr">
        <is>
          <t>Edge</t>
        </is>
      </c>
      <c r="F128" t="inlineStr">
        <is>
          <t>P1</t>
        </is>
      </c>
      <c r="G128" t="inlineStr">
        <is>
          <t>Export → open CSV in Excel.</t>
        </is>
      </c>
      <c r="H128" t="inlineStr">
        <is>
          <t>—</t>
        </is>
      </c>
      <c r="I128" t="inlineStr">
        <is>
          <t>Columns readable; dates parse.</t>
        </is>
      </c>
      <c r="J128" t="inlineStr">
        <is>
          <t>— Not tested</t>
        </is>
      </c>
      <c r="K128" t="inlineStr">
        <is>
          <t>— Not tested</t>
        </is>
      </c>
      <c r="L128" t="inlineStr">
        <is>
          <t>— Not tested</t>
        </is>
      </c>
    </row>
    <row r="129">
      <c r="A129" t="n">
        <v>529</v>
      </c>
      <c r="B129" t="inlineStr">
        <is>
          <t>3 — Trades</t>
        </is>
      </c>
      <c r="C129" t="n">
        <v>53</v>
      </c>
      <c r="D129" t="inlineStr">
        <is>
          <t>Trades — Import/Export File Matrix</t>
        </is>
      </c>
      <c r="E129" t="inlineStr">
        <is>
          <t>Edge</t>
        </is>
      </c>
      <c r="F129" t="inlineStr">
        <is>
          <t>P2</t>
        </is>
      </c>
      <c r="G129" t="inlineStr">
        <is>
          <t>Export → re-import same file.</t>
        </is>
      </c>
      <c r="H129" t="inlineStr">
        <is>
          <t>—</t>
        </is>
      </c>
      <c r="I129" t="inlineStr">
        <is>
          <t>Duplicates handled (skip/merge) — note behavior.</t>
        </is>
      </c>
      <c r="J129" t="inlineStr">
        <is>
          <t>— Not tested</t>
        </is>
      </c>
      <c r="K129" t="inlineStr">
        <is>
          <t>— Not tested</t>
        </is>
      </c>
      <c r="L129" t="inlineStr">
        <is>
          <t>— Not tested</t>
        </is>
      </c>
    </row>
    <row r="130">
      <c r="A130" t="n">
        <v>530</v>
      </c>
      <c r="B130" t="inlineStr">
        <is>
          <t>3 — Trades</t>
        </is>
      </c>
      <c r="C130" t="n">
        <v>53</v>
      </c>
      <c r="D130" t="inlineStr">
        <is>
          <t>Trades — Import/Export File Matrix</t>
        </is>
      </c>
      <c r="E130" t="inlineStr">
        <is>
          <t>Edge</t>
        </is>
      </c>
      <c r="F130" t="inlineStr">
        <is>
          <t>P2</t>
        </is>
      </c>
      <c r="G130" t="inlineStr">
        <is>
          <t>Import CSV wrong delimiter.</t>
        </is>
      </c>
      <c r="H130" t="inlineStr">
        <is>
          <t>semicolon file</t>
        </is>
      </c>
      <c r="I130" t="inlineStr">
        <is>
          <t>Error or partial — note.</t>
        </is>
      </c>
      <c r="J130" t="inlineStr">
        <is>
          <t>— Not tested</t>
        </is>
      </c>
      <c r="K130" t="inlineStr">
        <is>
          <t>— Not tested</t>
        </is>
      </c>
      <c r="L130" t="inlineStr">
        <is>
          <t>— Not tested</t>
        </is>
      </c>
    </row>
    <row r="131">
      <c r="A131" t="n">
        <v>531</v>
      </c>
      <c r="B131" t="inlineStr">
        <is>
          <t>3 — Trades</t>
        </is>
      </c>
      <c r="C131" t="n">
        <v>53</v>
      </c>
      <c r="D131" t="inlineStr">
        <is>
          <t>Trades — Import/Export File Matrix</t>
        </is>
      </c>
      <c r="E131" t="inlineStr">
        <is>
          <t>Edge</t>
        </is>
      </c>
      <c r="F131" t="inlineStr">
        <is>
          <t>P1</t>
        </is>
      </c>
      <c r="G131" t="inlineStr">
        <is>
          <t>Import CSV missing required columns.</t>
        </is>
      </c>
      <c r="H131" t="inlineStr">
        <is>
          <t>bad headers</t>
        </is>
      </c>
      <c r="I131" t="inlineStr">
        <is>
          <t>Clear error message.</t>
        </is>
      </c>
      <c r="J131" t="inlineStr">
        <is>
          <t>— Not tested</t>
        </is>
      </c>
      <c r="K131" t="inlineStr">
        <is>
          <t>— Not tested</t>
        </is>
      </c>
      <c r="L131" t="inlineStr">
        <is>
          <t>— Not tested</t>
        </is>
      </c>
    </row>
    <row r="132">
      <c r="A132" t="n">
        <v>532</v>
      </c>
      <c r="B132" t="inlineStr">
        <is>
          <t>3 — Trades</t>
        </is>
      </c>
      <c r="C132" t="n">
        <v>53</v>
      </c>
      <c r="D132" t="inlineStr">
        <is>
          <t>Trades — Import/Export File Matrix</t>
        </is>
      </c>
      <c r="E132" t="inlineStr">
        <is>
          <t>Edge</t>
        </is>
      </c>
      <c r="F132" t="inlineStr">
        <is>
          <t>P2</t>
        </is>
      </c>
      <c r="G132" t="inlineStr">
        <is>
          <t>Import empty CSV.</t>
        </is>
      </c>
      <c r="H132" t="inlineStr">
        <is>
          <t>0 rows</t>
        </is>
      </c>
      <c r="I132" t="inlineStr">
        <is>
          <t>No trades added; message shown.</t>
        </is>
      </c>
      <c r="J132" t="inlineStr">
        <is>
          <t>— Not tested</t>
        </is>
      </c>
      <c r="K132" t="inlineStr">
        <is>
          <t>— Not tested</t>
        </is>
      </c>
      <c r="L132" t="inlineStr">
        <is>
          <t>— Not tested</t>
        </is>
      </c>
    </row>
    <row r="133">
      <c r="A133" t="n">
        <v>533</v>
      </c>
      <c r="B133" t="inlineStr">
        <is>
          <t>3 — Trades</t>
        </is>
      </c>
      <c r="C133" t="n">
        <v>53</v>
      </c>
      <c r="D133" t="inlineStr">
        <is>
          <t>Trades — Import/Export File Matrix</t>
        </is>
      </c>
      <c r="E133" t="inlineStr">
        <is>
          <t>Edge</t>
        </is>
      </c>
      <c r="F133" t="inlineStr">
        <is>
          <t>P2</t>
        </is>
      </c>
      <c r="G133" t="inlineStr">
        <is>
          <t>Import 1000-row CSV.</t>
        </is>
      </c>
      <c r="H133" t="inlineStr">
        <is>
          <t>stress</t>
        </is>
      </c>
      <c r="I133" t="inlineStr">
        <is>
          <t>Completes without browser freeze.</t>
        </is>
      </c>
      <c r="J133" t="inlineStr">
        <is>
          <t>— Not tested</t>
        </is>
      </c>
      <c r="K133" t="inlineStr">
        <is>
          <t>— Not tested</t>
        </is>
      </c>
      <c r="L133" t="inlineStr">
        <is>
          <t>— Not tested</t>
        </is>
      </c>
    </row>
  </sheetData>
  <dataValidations count="2">
    <dataValidation sqref="J2:K133" showDropDown="0" showInputMessage="0" showErrorMessage="0" allowBlank="1" type="list">
      <formula1>"☑ Pass,☐ Fail,⚠ Partial,— Not tested"</formula1>
    </dataValidation>
    <dataValidation sqref="L2:L133" showDropDown="0" showInputMessage="0" showErrorMessage="0" allowBlank="1" type="list">
      <formula1>"☑ Yes,☐ No,— Not tested"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6" customWidth="1" min="3" max="3"/>
    <col width="26" customWidth="1" min="4" max="4"/>
    <col width="14" customWidth="1" min="5" max="5"/>
    <col width="7" customWidth="1" min="6" max="6"/>
    <col width="48" customWidth="1" min="7" max="7"/>
    <col width="22" customWidth="1" min="8" max="8"/>
    <col width="38" customWidth="1" min="9" max="9"/>
    <col width="12" customWidth="1" min="10" max="10"/>
    <col width="12" customWidth="1" min="11" max="11"/>
    <col width="9" customWidth="1" min="12" max="12"/>
    <col width="32" customWidth="1" min="13" max="13"/>
  </cols>
  <sheetData>
    <row r="1">
      <c r="A1" s="11" t="inlineStr">
        <is>
          <t>Step #</t>
        </is>
      </c>
      <c r="B1" s="11" t="inlineStr">
        <is>
          <t>Section</t>
        </is>
      </c>
      <c r="C1" s="11" t="inlineStr">
        <is>
          <t>Phase</t>
        </is>
      </c>
      <c r="D1" s="11" t="inlineStr">
        <is>
          <t>Phase Name</t>
        </is>
      </c>
      <c r="E1" s="11" t="inlineStr">
        <is>
          <t>Category</t>
        </is>
      </c>
      <c r="F1" s="11" t="inlineStr">
        <is>
          <t>Priority</t>
        </is>
      </c>
      <c r="G1" s="11" t="inlineStr">
        <is>
          <t>What to Do</t>
        </is>
      </c>
      <c r="H1" s="11" t="inlineStr">
        <is>
          <t>Test Input</t>
        </is>
      </c>
      <c r="I1" s="11" t="inlineStr">
        <is>
          <t>Expected Result</t>
        </is>
      </c>
      <c r="J1" s="11" t="inlineStr">
        <is>
          <t>Tester A</t>
        </is>
      </c>
      <c r="K1" s="11" t="inlineStr">
        <is>
          <t>Tester B</t>
        </is>
      </c>
      <c r="L1" s="11" t="inlineStr">
        <is>
          <t>Issue?</t>
        </is>
      </c>
      <c r="M1" s="11" t="inlineStr">
        <is>
          <t>Comments</t>
        </is>
      </c>
    </row>
    <row r="2">
      <c r="A2" t="n">
        <v>386</v>
      </c>
      <c r="B2" t="inlineStr">
        <is>
          <t>4 — Sources</t>
        </is>
      </c>
      <c r="C2" t="n">
        <v>35</v>
      </c>
      <c r="D2" t="inlineStr">
        <is>
          <t>Sources Library — Open &amp; Shell</t>
        </is>
      </c>
      <c r="E2" t="inlineStr">
        <is>
          <t>Structure</t>
        </is>
      </c>
      <c r="F2" t="inlineStr">
        <is>
          <t>P0</t>
        </is>
      </c>
      <c r="G2" t="inlineStr">
        <is>
          <t>Dashboard → click source chip.</t>
        </is>
      </c>
      <c r="H2" t="inlineStr">
        <is>
          <t>—</t>
        </is>
      </c>
      <c r="I2" t="inlineStr">
        <is>
          <t>Library overlay opens.</t>
        </is>
      </c>
      <c r="J2" t="inlineStr">
        <is>
          <t>— Not tested</t>
        </is>
      </c>
      <c r="K2" t="inlineStr">
        <is>
          <t>— Not tested</t>
        </is>
      </c>
      <c r="L2" t="inlineStr">
        <is>
          <t>— Not tested</t>
        </is>
      </c>
    </row>
    <row r="3">
      <c r="A3" t="n">
        <v>387</v>
      </c>
      <c r="B3" t="inlineStr">
        <is>
          <t>4 — Sources</t>
        </is>
      </c>
      <c r="C3" t="n">
        <v>35</v>
      </c>
      <c r="D3" t="inlineStr">
        <is>
          <t>Sources Library — Open &amp; Shell</t>
        </is>
      </c>
      <c r="E3" t="inlineStr">
        <is>
          <t>Structure</t>
        </is>
      </c>
      <c r="F3" t="inlineStr">
        <is>
          <t>P0</t>
        </is>
      </c>
      <c r="G3" t="inlineStr">
        <is>
          <t>Trades → source switcher.</t>
        </is>
      </c>
      <c r="H3" t="inlineStr">
        <is>
          <t>—</t>
        </is>
      </c>
      <c r="I3" t="inlineStr">
        <is>
          <t>Same library UI.</t>
        </is>
      </c>
      <c r="J3" t="inlineStr">
        <is>
          <t>— Not tested</t>
        </is>
      </c>
      <c r="K3" t="inlineStr">
        <is>
          <t>— Not tested</t>
        </is>
      </c>
      <c r="L3" t="inlineStr">
        <is>
          <t>— Not tested</t>
        </is>
      </c>
    </row>
    <row r="4">
      <c r="A4" t="n">
        <v>388</v>
      </c>
      <c r="B4" t="inlineStr">
        <is>
          <t>4 — Sources</t>
        </is>
      </c>
      <c r="C4" t="n">
        <v>35</v>
      </c>
      <c r="D4" t="inlineStr">
        <is>
          <t>Sources Library — Open &amp; Shell</t>
        </is>
      </c>
      <c r="E4" t="inlineStr">
        <is>
          <t>Structure</t>
        </is>
      </c>
      <c r="F4" t="inlineStr">
        <is>
          <t>P1</t>
        </is>
      </c>
      <c r="G4" t="inlineStr">
        <is>
          <t>Verify overlay: tree left, list center, footer.</t>
        </is>
      </c>
      <c r="H4" t="inlineStr">
        <is>
          <t>—</t>
        </is>
      </c>
      <c r="I4" t="inlineStr">
        <is>
          <t>Three-zone layout.</t>
        </is>
      </c>
      <c r="J4" t="inlineStr">
        <is>
          <t>— Not tested</t>
        </is>
      </c>
      <c r="K4" t="inlineStr">
        <is>
          <t>— Not tested</t>
        </is>
      </c>
      <c r="L4" t="inlineStr">
        <is>
          <t>— Not tested</t>
        </is>
      </c>
    </row>
    <row r="5">
      <c r="A5" t="n">
        <v>389</v>
      </c>
      <c r="B5" t="inlineStr">
        <is>
          <t>4 — Sources</t>
        </is>
      </c>
      <c r="C5" t="n">
        <v>35</v>
      </c>
      <c r="D5" t="inlineStr">
        <is>
          <t>Sources Library — Open &amp; Shell</t>
        </is>
      </c>
      <c r="E5" t="inlineStr">
        <is>
          <t>Structure</t>
        </is>
      </c>
      <c r="F5" t="inlineStr">
        <is>
          <t>P2</t>
        </is>
      </c>
      <c r="G5" t="inlineStr">
        <is>
          <t>Click outside overlay.</t>
        </is>
      </c>
      <c r="H5" t="inlineStr">
        <is>
          <t>—</t>
        </is>
      </c>
      <c r="I5" t="inlineStr">
        <is>
          <t>Stays open or closes — note behavior.</t>
        </is>
      </c>
      <c r="J5" t="inlineStr">
        <is>
          <t>— Not tested</t>
        </is>
      </c>
      <c r="K5" t="inlineStr">
        <is>
          <t>— Not tested</t>
        </is>
      </c>
      <c r="L5" t="inlineStr">
        <is>
          <t>— Not tested</t>
        </is>
      </c>
    </row>
    <row r="6">
      <c r="A6" t="n">
        <v>390</v>
      </c>
      <c r="B6" t="inlineStr">
        <is>
          <t>4 — Sources</t>
        </is>
      </c>
      <c r="C6" t="n">
        <v>35</v>
      </c>
      <c r="D6" t="inlineStr">
        <is>
          <t>Sources Library — Open &amp; Shell</t>
        </is>
      </c>
      <c r="E6" t="inlineStr">
        <is>
          <t>Structure</t>
        </is>
      </c>
      <c r="F6" t="inlineStr">
        <is>
          <t>P2</t>
        </is>
      </c>
      <c r="G6" t="inlineStr">
        <is>
          <t>Resize window with library open.</t>
        </is>
      </c>
      <c r="H6" t="inlineStr">
        <is>
          <t>—</t>
        </is>
      </c>
      <c r="I6" t="inlineStr">
        <is>
          <t>Layout adapts.</t>
        </is>
      </c>
      <c r="J6" t="inlineStr">
        <is>
          <t>— Not tested</t>
        </is>
      </c>
      <c r="K6" t="inlineStr">
        <is>
          <t>— Not tested</t>
        </is>
      </c>
      <c r="L6" t="inlineStr">
        <is>
          <t>— Not tested</t>
        </is>
      </c>
    </row>
    <row r="7">
      <c r="A7" t="n">
        <v>391</v>
      </c>
      <c r="B7" t="inlineStr">
        <is>
          <t>4 — Sources</t>
        </is>
      </c>
      <c r="C7" t="n">
        <v>36</v>
      </c>
      <c r="D7" t="inlineStr">
        <is>
          <t>Sources — Tree Navigation</t>
        </is>
      </c>
      <c r="E7" t="inlineStr">
        <is>
          <t>Structure</t>
        </is>
      </c>
      <c r="F7" t="inlineStr">
        <is>
          <t>P0</t>
        </is>
      </c>
      <c r="G7" t="inlineStr">
        <is>
          <t>Expand Backtest Sessions.</t>
        </is>
      </c>
      <c r="H7" t="inlineStr">
        <is>
          <t>—</t>
        </is>
      </c>
      <c r="I7" t="inlineStr">
        <is>
          <t>Standard and Prop Firm children.</t>
        </is>
      </c>
      <c r="J7" t="inlineStr">
        <is>
          <t>— Not tested</t>
        </is>
      </c>
      <c r="K7" t="inlineStr">
        <is>
          <t>— Not tested</t>
        </is>
      </c>
      <c r="L7" t="inlineStr">
        <is>
          <t>— Not tested</t>
        </is>
      </c>
    </row>
    <row r="8">
      <c r="A8" t="n">
        <v>392</v>
      </c>
      <c r="B8" t="inlineStr">
        <is>
          <t>4 — Sources</t>
        </is>
      </c>
      <c r="C8" t="n">
        <v>36</v>
      </c>
      <c r="D8" t="inlineStr">
        <is>
          <t>Sources — Tree Navigation</t>
        </is>
      </c>
      <c r="E8" t="inlineStr">
        <is>
          <t>Structure</t>
        </is>
      </c>
      <c r="F8" t="inlineStr">
        <is>
          <t>P0</t>
        </is>
      </c>
      <c r="G8" t="inlineStr">
        <is>
          <t>Expand Standard under Backtests.</t>
        </is>
      </c>
      <c r="H8" t="inlineStr">
        <is>
          <t>—</t>
        </is>
      </c>
      <c r="I8" t="inlineStr">
        <is>
          <t>Standard sessions listed.</t>
        </is>
      </c>
      <c r="J8" t="inlineStr">
        <is>
          <t>— Not tested</t>
        </is>
      </c>
      <c r="K8" t="inlineStr">
        <is>
          <t>— Not tested</t>
        </is>
      </c>
      <c r="L8" t="inlineStr">
        <is>
          <t>— Not tested</t>
        </is>
      </c>
    </row>
    <row r="9">
      <c r="A9" t="n">
        <v>393</v>
      </c>
      <c r="B9" t="inlineStr">
        <is>
          <t>4 — Sources</t>
        </is>
      </c>
      <c r="C9" t="n">
        <v>36</v>
      </c>
      <c r="D9" t="inlineStr">
        <is>
          <t>Sources — Tree Navigation</t>
        </is>
      </c>
      <c r="E9" t="inlineStr">
        <is>
          <t>Structure</t>
        </is>
      </c>
      <c r="F9" t="inlineStr">
        <is>
          <t>P0</t>
        </is>
      </c>
      <c r="G9" t="inlineStr">
        <is>
          <t>Expand Prop Firm under Backtests.</t>
        </is>
      </c>
      <c r="H9" t="inlineStr">
        <is>
          <t>—</t>
        </is>
      </c>
      <c r="I9" t="inlineStr">
        <is>
          <t>Prop sessions listed.</t>
        </is>
      </c>
      <c r="J9" t="inlineStr">
        <is>
          <t>— Not tested</t>
        </is>
      </c>
      <c r="K9" t="inlineStr">
        <is>
          <t>— Not tested</t>
        </is>
      </c>
      <c r="L9" t="inlineStr">
        <is>
          <t>— Not tested</t>
        </is>
      </c>
    </row>
    <row r="10">
      <c r="A10" t="n">
        <v>394</v>
      </c>
      <c r="B10" t="inlineStr">
        <is>
          <t>4 — Sources</t>
        </is>
      </c>
      <c r="C10" t="n">
        <v>36</v>
      </c>
      <c r="D10" t="inlineStr">
        <is>
          <t>Sources — Tree Navigation</t>
        </is>
      </c>
      <c r="E10" t="inlineStr">
        <is>
          <t>Structure</t>
        </is>
      </c>
      <c r="F10" t="inlineStr">
        <is>
          <t>P0</t>
        </is>
      </c>
      <c r="G10" t="inlineStr">
        <is>
          <t>Expand Live Journals.</t>
        </is>
      </c>
      <c r="H10" t="inlineStr">
        <is>
          <t>—</t>
        </is>
      </c>
      <c r="I10" t="inlineStr">
        <is>
          <t>Personal and Prop children.</t>
        </is>
      </c>
      <c r="J10" t="inlineStr">
        <is>
          <t>— Not tested</t>
        </is>
      </c>
      <c r="K10" t="inlineStr">
        <is>
          <t>— Not tested</t>
        </is>
      </c>
      <c r="L10" t="inlineStr">
        <is>
          <t>— Not tested</t>
        </is>
      </c>
    </row>
    <row r="11">
      <c r="A11" t="n">
        <v>395</v>
      </c>
      <c r="B11" t="inlineStr">
        <is>
          <t>4 — Sources</t>
        </is>
      </c>
      <c r="C11" t="n">
        <v>36</v>
      </c>
      <c r="D11" t="inlineStr">
        <is>
          <t>Sources — Tree Navigation</t>
        </is>
      </c>
      <c r="E11" t="inlineStr">
        <is>
          <t>Structure</t>
        </is>
      </c>
      <c r="F11" t="inlineStr">
        <is>
          <t>P1</t>
        </is>
      </c>
      <c r="G11" t="inlineStr">
        <is>
          <t>Expand Strategies tree node.</t>
        </is>
      </c>
      <c r="H11" t="inlineStr">
        <is>
          <t>—</t>
        </is>
      </c>
      <c r="I11" t="inlineStr">
        <is>
          <t>Strategy groups with children.</t>
        </is>
      </c>
      <c r="J11" t="inlineStr">
        <is>
          <t>— Not tested</t>
        </is>
      </c>
      <c r="K11" t="inlineStr">
        <is>
          <t>— Not tested</t>
        </is>
      </c>
      <c r="L11" t="inlineStr">
        <is>
          <t>— Not tested</t>
        </is>
      </c>
    </row>
    <row r="12">
      <c r="A12" t="n">
        <v>396</v>
      </c>
      <c r="B12" t="inlineStr">
        <is>
          <t>4 — Sources</t>
        </is>
      </c>
      <c r="C12" t="n">
        <v>36</v>
      </c>
      <c r="D12" t="inlineStr">
        <is>
          <t>Sources — Tree Navigation</t>
        </is>
      </c>
      <c r="E12" t="inlineStr">
        <is>
          <t>Structure</t>
        </is>
      </c>
      <c r="F12" t="inlineStr">
        <is>
          <t>P2</t>
        </is>
      </c>
      <c r="G12" t="inlineStr">
        <is>
          <t>Collapse all then re-expand.</t>
        </is>
      </c>
      <c r="H12" t="inlineStr">
        <is>
          <t>—</t>
        </is>
      </c>
      <c r="I12" t="inlineStr">
        <is>
          <t>State consistent.</t>
        </is>
      </c>
      <c r="J12" t="inlineStr">
        <is>
          <t>— Not tested</t>
        </is>
      </c>
      <c r="K12" t="inlineStr">
        <is>
          <t>— Not tested</t>
        </is>
      </c>
      <c r="L12" t="inlineStr">
        <is>
          <t>— Not tested</t>
        </is>
      </c>
    </row>
    <row r="13">
      <c r="A13" t="n">
        <v>397</v>
      </c>
      <c r="B13" t="inlineStr">
        <is>
          <t>4 — Sources</t>
        </is>
      </c>
      <c r="C13" t="n">
        <v>37</v>
      </c>
      <c r="D13" t="inlineStr">
        <is>
          <t>Sources — Filter Matrix (Backtests)</t>
        </is>
      </c>
      <c r="E13" t="inlineStr">
        <is>
          <t>Configuration</t>
        </is>
      </c>
      <c r="F13" t="inlineStr">
        <is>
          <t>P2</t>
        </is>
      </c>
      <c r="G13" t="inlineStr">
        <is>
          <t>Mode **Standard** + Status **All**.</t>
        </is>
      </c>
      <c r="H13" t="inlineStr">
        <is>
          <t>Standard+All</t>
        </is>
      </c>
      <c r="I13" t="inlineStr">
        <is>
          <t>List shows only matching sessions; count in footer updates.</t>
        </is>
      </c>
      <c r="J13" t="inlineStr">
        <is>
          <t>— Not tested</t>
        </is>
      </c>
      <c r="K13" t="inlineStr">
        <is>
          <t>— Not tested</t>
        </is>
      </c>
      <c r="L13" t="inlineStr">
        <is>
          <t>— Not tested</t>
        </is>
      </c>
    </row>
    <row r="14">
      <c r="A14" t="n">
        <v>398</v>
      </c>
      <c r="B14" t="inlineStr">
        <is>
          <t>4 — Sources</t>
        </is>
      </c>
      <c r="C14" t="n">
        <v>37</v>
      </c>
      <c r="D14" t="inlineStr">
        <is>
          <t>Sources — Filter Matrix (Backtests)</t>
        </is>
      </c>
      <c r="E14" t="inlineStr">
        <is>
          <t>Configuration</t>
        </is>
      </c>
      <c r="F14" t="inlineStr">
        <is>
          <t>P2</t>
        </is>
      </c>
      <c r="G14" t="inlineStr">
        <is>
          <t>Mode **Standard** + Status **Not Started**.</t>
        </is>
      </c>
      <c r="H14" t="inlineStr">
        <is>
          <t>Standard+Not Started</t>
        </is>
      </c>
      <c r="I14" t="inlineStr">
        <is>
          <t>List shows only matching sessions; count in footer updates.</t>
        </is>
      </c>
      <c r="J14" t="inlineStr">
        <is>
          <t>— Not tested</t>
        </is>
      </c>
      <c r="K14" t="inlineStr">
        <is>
          <t>— Not tested</t>
        </is>
      </c>
      <c r="L14" t="inlineStr">
        <is>
          <t>— Not tested</t>
        </is>
      </c>
    </row>
    <row r="15">
      <c r="A15" t="n">
        <v>399</v>
      </c>
      <c r="B15" t="inlineStr">
        <is>
          <t>4 — Sources</t>
        </is>
      </c>
      <c r="C15" t="n">
        <v>37</v>
      </c>
      <c r="D15" t="inlineStr">
        <is>
          <t>Sources — Filter Matrix (Backtests)</t>
        </is>
      </c>
      <c r="E15" t="inlineStr">
        <is>
          <t>Configuration</t>
        </is>
      </c>
      <c r="F15" t="inlineStr">
        <is>
          <t>P2</t>
        </is>
      </c>
      <c r="G15" t="inlineStr">
        <is>
          <t>Mode **Standard** + Status **Active**.</t>
        </is>
      </c>
      <c r="H15" t="inlineStr">
        <is>
          <t>Standard+Active</t>
        </is>
      </c>
      <c r="I15" t="inlineStr">
        <is>
          <t>List shows only matching sessions; count in footer updates.</t>
        </is>
      </c>
      <c r="J15" t="inlineStr">
        <is>
          <t>— Not tested</t>
        </is>
      </c>
      <c r="K15" t="inlineStr">
        <is>
          <t>— Not tested</t>
        </is>
      </c>
      <c r="L15" t="inlineStr">
        <is>
          <t>— Not tested</t>
        </is>
      </c>
    </row>
    <row r="16">
      <c r="A16" t="n">
        <v>400</v>
      </c>
      <c r="B16" t="inlineStr">
        <is>
          <t>4 — Sources</t>
        </is>
      </c>
      <c r="C16" t="n">
        <v>37</v>
      </c>
      <c r="D16" t="inlineStr">
        <is>
          <t>Sources — Filter Matrix (Backtests)</t>
        </is>
      </c>
      <c r="E16" t="inlineStr">
        <is>
          <t>Configuration</t>
        </is>
      </c>
      <c r="F16" t="inlineStr">
        <is>
          <t>P2</t>
        </is>
      </c>
      <c r="G16" t="inlineStr">
        <is>
          <t>Mode **Standard** + Status **Completed**.</t>
        </is>
      </c>
      <c r="H16" t="inlineStr">
        <is>
          <t>Standard+Completed</t>
        </is>
      </c>
      <c r="I16" t="inlineStr">
        <is>
          <t>List shows only matching sessions; count in footer updates.</t>
        </is>
      </c>
      <c r="J16" t="inlineStr">
        <is>
          <t>— Not tested</t>
        </is>
      </c>
      <c r="K16" t="inlineStr">
        <is>
          <t>— Not tested</t>
        </is>
      </c>
      <c r="L16" t="inlineStr">
        <is>
          <t>— Not tested</t>
        </is>
      </c>
    </row>
    <row r="17">
      <c r="A17" t="n">
        <v>401</v>
      </c>
      <c r="B17" t="inlineStr">
        <is>
          <t>4 — Sources</t>
        </is>
      </c>
      <c r="C17" t="n">
        <v>37</v>
      </c>
      <c r="D17" t="inlineStr">
        <is>
          <t>Sources — Filter Matrix (Backtests)</t>
        </is>
      </c>
      <c r="E17" t="inlineStr">
        <is>
          <t>Configuration</t>
        </is>
      </c>
      <c r="F17" t="inlineStr">
        <is>
          <t>P2</t>
        </is>
      </c>
      <c r="G17" t="inlineStr">
        <is>
          <t>Mode **Prop** + Status **All**.</t>
        </is>
      </c>
      <c r="H17" t="inlineStr">
        <is>
          <t>Prop+All</t>
        </is>
      </c>
      <c r="I17" t="inlineStr">
        <is>
          <t>List shows only matching sessions; count in footer updates.</t>
        </is>
      </c>
      <c r="J17" t="inlineStr">
        <is>
          <t>— Not tested</t>
        </is>
      </c>
      <c r="K17" t="inlineStr">
        <is>
          <t>— Not tested</t>
        </is>
      </c>
      <c r="L17" t="inlineStr">
        <is>
          <t>— Not tested</t>
        </is>
      </c>
    </row>
    <row r="18">
      <c r="A18" t="n">
        <v>402</v>
      </c>
      <c r="B18" t="inlineStr">
        <is>
          <t>4 — Sources</t>
        </is>
      </c>
      <c r="C18" t="n">
        <v>37</v>
      </c>
      <c r="D18" t="inlineStr">
        <is>
          <t>Sources — Filter Matrix (Backtests)</t>
        </is>
      </c>
      <c r="E18" t="inlineStr">
        <is>
          <t>Configuration</t>
        </is>
      </c>
      <c r="F18" t="inlineStr">
        <is>
          <t>P2</t>
        </is>
      </c>
      <c r="G18" t="inlineStr">
        <is>
          <t>Mode **Prop** + Status **Not Started**.</t>
        </is>
      </c>
      <c r="H18" t="inlineStr">
        <is>
          <t>Prop+Not Started</t>
        </is>
      </c>
      <c r="I18" t="inlineStr">
        <is>
          <t>List shows only matching sessions; count in footer updates.</t>
        </is>
      </c>
      <c r="J18" t="inlineStr">
        <is>
          <t>— Not tested</t>
        </is>
      </c>
      <c r="K18" t="inlineStr">
        <is>
          <t>— Not tested</t>
        </is>
      </c>
      <c r="L18" t="inlineStr">
        <is>
          <t>— Not tested</t>
        </is>
      </c>
    </row>
    <row r="19">
      <c r="A19" t="n">
        <v>403</v>
      </c>
      <c r="B19" t="inlineStr">
        <is>
          <t>4 — Sources</t>
        </is>
      </c>
      <c r="C19" t="n">
        <v>37</v>
      </c>
      <c r="D19" t="inlineStr">
        <is>
          <t>Sources — Filter Matrix (Backtests)</t>
        </is>
      </c>
      <c r="E19" t="inlineStr">
        <is>
          <t>Configuration</t>
        </is>
      </c>
      <c r="F19" t="inlineStr">
        <is>
          <t>P2</t>
        </is>
      </c>
      <c r="G19" t="inlineStr">
        <is>
          <t>Mode **Prop** + Status **Active**.</t>
        </is>
      </c>
      <c r="H19" t="inlineStr">
        <is>
          <t>Prop+Active</t>
        </is>
      </c>
      <c r="I19" t="inlineStr">
        <is>
          <t>List shows only matching sessions; count in footer updates.</t>
        </is>
      </c>
      <c r="J19" t="inlineStr">
        <is>
          <t>— Not tested</t>
        </is>
      </c>
      <c r="K19" t="inlineStr">
        <is>
          <t>— Not tested</t>
        </is>
      </c>
      <c r="L19" t="inlineStr">
        <is>
          <t>— Not tested</t>
        </is>
      </c>
    </row>
    <row r="20">
      <c r="A20" t="n">
        <v>404</v>
      </c>
      <c r="B20" t="inlineStr">
        <is>
          <t>4 — Sources</t>
        </is>
      </c>
      <c r="C20" t="n">
        <v>37</v>
      </c>
      <c r="D20" t="inlineStr">
        <is>
          <t>Sources — Filter Matrix (Backtests)</t>
        </is>
      </c>
      <c r="E20" t="inlineStr">
        <is>
          <t>Configuration</t>
        </is>
      </c>
      <c r="F20" t="inlineStr">
        <is>
          <t>P2</t>
        </is>
      </c>
      <c r="G20" t="inlineStr">
        <is>
          <t>Mode **Prop** + Status **Completed**.</t>
        </is>
      </c>
      <c r="H20" t="inlineStr">
        <is>
          <t>Prop+Completed</t>
        </is>
      </c>
      <c r="I20" t="inlineStr">
        <is>
          <t>List shows only matching sessions; count in footer updates.</t>
        </is>
      </c>
      <c r="J20" t="inlineStr">
        <is>
          <t>— Not tested</t>
        </is>
      </c>
      <c r="K20" t="inlineStr">
        <is>
          <t>— Not tested</t>
        </is>
      </c>
      <c r="L20" t="inlineStr">
        <is>
          <t>— Not tested</t>
        </is>
      </c>
    </row>
    <row r="21">
      <c r="A21" t="n">
        <v>405</v>
      </c>
      <c r="B21" t="inlineStr">
        <is>
          <t>4 — Sources</t>
        </is>
      </c>
      <c r="C21" t="n">
        <v>37</v>
      </c>
      <c r="D21" t="inlineStr">
        <is>
          <t>Sources — Filter Matrix (Backtests)</t>
        </is>
      </c>
      <c r="E21" t="inlineStr">
        <is>
          <t>Configuration</t>
        </is>
      </c>
      <c r="F21" t="inlineStr">
        <is>
          <t>P1</t>
        </is>
      </c>
      <c r="G21" t="inlineStr">
        <is>
          <t>Journal filter: Personal only.</t>
        </is>
      </c>
      <c r="H21" t="inlineStr">
        <is>
          <t>—</t>
        </is>
      </c>
      <c r="I21" t="inlineStr">
        <is>
          <t>Personal journal accounts.</t>
        </is>
      </c>
      <c r="J21" t="inlineStr">
        <is>
          <t>— Not tested</t>
        </is>
      </c>
      <c r="K21" t="inlineStr">
        <is>
          <t>— Not tested</t>
        </is>
      </c>
      <c r="L21" t="inlineStr">
        <is>
          <t>— Not tested</t>
        </is>
      </c>
    </row>
    <row r="22">
      <c r="A22" t="n">
        <v>406</v>
      </c>
      <c r="B22" t="inlineStr">
        <is>
          <t>4 — Sources</t>
        </is>
      </c>
      <c r="C22" t="n">
        <v>37</v>
      </c>
      <c r="D22" t="inlineStr">
        <is>
          <t>Sources — Filter Matrix (Backtests)</t>
        </is>
      </c>
      <c r="E22" t="inlineStr">
        <is>
          <t>Configuration</t>
        </is>
      </c>
      <c r="F22" t="inlineStr">
        <is>
          <t>P1</t>
        </is>
      </c>
      <c r="G22" t="inlineStr">
        <is>
          <t>Journal filter: Prop only.</t>
        </is>
      </c>
      <c r="H22" t="inlineStr">
        <is>
          <t>—</t>
        </is>
      </c>
      <c r="I22" t="inlineStr">
        <is>
          <t>Prop journal accounts.</t>
        </is>
      </c>
      <c r="J22" t="inlineStr">
        <is>
          <t>— Not tested</t>
        </is>
      </c>
      <c r="K22" t="inlineStr">
        <is>
          <t>— Not tested</t>
        </is>
      </c>
      <c r="L22" t="inlineStr">
        <is>
          <t>— Not tested</t>
        </is>
      </c>
    </row>
    <row r="23">
      <c r="A23" t="n">
        <v>407</v>
      </c>
      <c r="B23" t="inlineStr">
        <is>
          <t>4 — Sources</t>
        </is>
      </c>
      <c r="C23" t="n">
        <v>37</v>
      </c>
      <c r="D23" t="inlineStr">
        <is>
          <t>Sources — Filter Matrix (Backtests)</t>
        </is>
      </c>
      <c r="E23" t="inlineStr">
        <is>
          <t>Configuration</t>
        </is>
      </c>
      <c r="F23" t="inlineStr">
        <is>
          <t>P2</t>
        </is>
      </c>
      <c r="G23" t="inlineStr">
        <is>
          <t>Strategy view filter if present.</t>
        </is>
      </c>
      <c r="H23" t="inlineStr">
        <is>
          <t>—</t>
        </is>
      </c>
      <c r="I23" t="inlineStr">
        <is>
          <t>Filters strategy groups.</t>
        </is>
      </c>
      <c r="J23" t="inlineStr">
        <is>
          <t>— Not tested</t>
        </is>
      </c>
      <c r="K23" t="inlineStr">
        <is>
          <t>— Not tested</t>
        </is>
      </c>
      <c r="L23" t="inlineStr">
        <is>
          <t>— Not tested</t>
        </is>
      </c>
    </row>
    <row r="24">
      <c r="A24" t="n">
        <v>408</v>
      </c>
      <c r="B24" t="inlineStr">
        <is>
          <t>4 — Sources</t>
        </is>
      </c>
      <c r="C24" t="n">
        <v>38</v>
      </c>
      <c r="D24" t="inlineStr">
        <is>
          <t>Sources — Selection &amp; Footer</t>
        </is>
      </c>
      <c r="E24" t="inlineStr">
        <is>
          <t>Logic</t>
        </is>
      </c>
      <c r="F24" t="inlineStr">
        <is>
          <t>P0</t>
        </is>
      </c>
      <c r="G24" t="inlineStr">
        <is>
          <t>Single-click session row.</t>
        </is>
      </c>
      <c r="H24" t="inlineStr">
        <is>
          <t>—</t>
        </is>
      </c>
      <c r="I24" t="inlineStr">
        <is>
          <t>Row highlighted; footer updates.</t>
        </is>
      </c>
      <c r="J24" t="inlineStr">
        <is>
          <t>— Not tested</t>
        </is>
      </c>
      <c r="K24" t="inlineStr">
        <is>
          <t>— Not tested</t>
        </is>
      </c>
      <c r="L24" t="inlineStr">
        <is>
          <t>— Not tested</t>
        </is>
      </c>
    </row>
    <row r="25">
      <c r="A25" t="n">
        <v>409</v>
      </c>
      <c r="B25" t="inlineStr">
        <is>
          <t>4 — Sources</t>
        </is>
      </c>
      <c r="C25" t="n">
        <v>38</v>
      </c>
      <c r="D25" t="inlineStr">
        <is>
          <t>Sources — Selection &amp; Footer</t>
        </is>
      </c>
      <c r="E25" t="inlineStr">
        <is>
          <t>Logic</t>
        </is>
      </c>
      <c r="F25" t="inlineStr">
        <is>
          <t>P0</t>
        </is>
      </c>
      <c r="G25" t="inlineStr">
        <is>
          <t>Footer: name, type badge, trade count.</t>
        </is>
      </c>
      <c r="H25" t="inlineStr">
        <is>
          <t>—</t>
        </is>
      </c>
      <c r="I25" t="inlineStr">
        <is>
          <t>Matches selection.</t>
        </is>
      </c>
      <c r="J25" t="inlineStr">
        <is>
          <t>— Not tested</t>
        </is>
      </c>
      <c r="K25" t="inlineStr">
        <is>
          <t>— Not tested</t>
        </is>
      </c>
      <c r="L25" t="inlineStr">
        <is>
          <t>— Not tested</t>
        </is>
      </c>
    </row>
    <row r="26">
      <c r="A26" t="n">
        <v>410</v>
      </c>
      <c r="B26" t="inlineStr">
        <is>
          <t>4 — Sources</t>
        </is>
      </c>
      <c r="C26" t="n">
        <v>38</v>
      </c>
      <c r="D26" t="inlineStr">
        <is>
          <t>Sources — Selection &amp; Footer</t>
        </is>
      </c>
      <c r="E26" t="inlineStr">
        <is>
          <t>Logic</t>
        </is>
      </c>
      <c r="F26" t="inlineStr">
        <is>
          <t>P1</t>
        </is>
      </c>
      <c r="G26" t="inlineStr">
        <is>
          <t>Select strategy parent.</t>
        </is>
      </c>
      <c r="H26" t="inlineStr">
        <is>
          <t>—</t>
        </is>
      </c>
      <c r="I26" t="inlineStr">
        <is>
          <t>All children selected or prompt.</t>
        </is>
      </c>
      <c r="J26" t="inlineStr">
        <is>
          <t>— Not tested</t>
        </is>
      </c>
      <c r="K26" t="inlineStr">
        <is>
          <t>— Not tested</t>
        </is>
      </c>
      <c r="L26" t="inlineStr">
        <is>
          <t>— Not tested</t>
        </is>
      </c>
    </row>
    <row r="27">
      <c r="A27" t="n">
        <v>411</v>
      </c>
      <c r="B27" t="inlineStr">
        <is>
          <t>4 — Sources</t>
        </is>
      </c>
      <c r="C27" t="n">
        <v>38</v>
      </c>
      <c r="D27" t="inlineStr">
        <is>
          <t>Sources — Selection &amp; Footer</t>
        </is>
      </c>
      <c r="E27" t="inlineStr">
        <is>
          <t>Logic</t>
        </is>
      </c>
      <c r="F27" t="inlineStr">
        <is>
          <t>P1</t>
        </is>
      </c>
      <c r="G27" t="inlineStr">
        <is>
          <t>Uncheck 1 of 3 strategy children.</t>
        </is>
      </c>
      <c r="H27" t="inlineStr">
        <is>
          <t>partial</t>
        </is>
      </c>
      <c r="I27" t="inlineStr">
        <is>
          <t>Partial selection; N/M label.</t>
        </is>
      </c>
      <c r="J27" t="inlineStr">
        <is>
          <t>— Not tested</t>
        </is>
      </c>
      <c r="K27" t="inlineStr">
        <is>
          <t>— Not tested</t>
        </is>
      </c>
      <c r="L27" t="inlineStr">
        <is>
          <t>— Not tested</t>
        </is>
      </c>
    </row>
    <row r="28">
      <c r="A28" t="n">
        <v>412</v>
      </c>
      <c r="B28" t="inlineStr">
        <is>
          <t>4 — Sources</t>
        </is>
      </c>
      <c r="C28" t="n">
        <v>38</v>
      </c>
      <c r="D28" t="inlineStr">
        <is>
          <t>Sources — Selection &amp; Footer</t>
        </is>
      </c>
      <c r="E28" t="inlineStr">
        <is>
          <t>Logic</t>
        </is>
      </c>
      <c r="F28" t="inlineStr">
        <is>
          <t>P0</t>
        </is>
      </c>
      <c r="G28" t="inlineStr">
        <is>
          <t>Select journal account.</t>
        </is>
      </c>
      <c r="H28" t="inlineStr">
        <is>
          <t>—</t>
        </is>
      </c>
      <c r="I28" t="inlineStr">
        <is>
          <t>Green journal badge.</t>
        </is>
      </c>
      <c r="J28" t="inlineStr">
        <is>
          <t>— Not tested</t>
        </is>
      </c>
      <c r="K28" t="inlineStr">
        <is>
          <t>— Not tested</t>
        </is>
      </c>
      <c r="L28" t="inlineStr">
        <is>
          <t>— Not tested</t>
        </is>
      </c>
    </row>
    <row r="29">
      <c r="A29" t="n">
        <v>413</v>
      </c>
      <c r="B29" t="inlineStr">
        <is>
          <t>4 — Sources</t>
        </is>
      </c>
      <c r="C29" t="n">
        <v>38</v>
      </c>
      <c r="D29" t="inlineStr">
        <is>
          <t>Sources — Selection &amp; Footer</t>
        </is>
      </c>
      <c r="E29" t="inlineStr">
        <is>
          <t>Logic</t>
        </is>
      </c>
      <c r="F29" t="inlineStr">
        <is>
          <t>P2</t>
        </is>
      </c>
      <c r="G29" t="inlineStr">
        <is>
          <t>Select single journal entry (trade scope).</t>
        </is>
      </c>
      <c r="H29" t="inlineStr">
        <is>
          <t>—</t>
        </is>
      </c>
      <c r="I29" t="inlineStr">
        <is>
          <t>Trade count = 1.</t>
        </is>
      </c>
      <c r="J29" t="inlineStr">
        <is>
          <t>— Not tested</t>
        </is>
      </c>
      <c r="K29" t="inlineStr">
        <is>
          <t>— Not tested</t>
        </is>
      </c>
      <c r="L29" t="inlineStr">
        <is>
          <t>— Not tested</t>
        </is>
      </c>
    </row>
    <row r="30">
      <c r="A30" t="n">
        <v>414</v>
      </c>
      <c r="B30" t="inlineStr">
        <is>
          <t>4 — Sources</t>
        </is>
      </c>
      <c r="C30" t="n">
        <v>38</v>
      </c>
      <c r="D30" t="inlineStr">
        <is>
          <t>Sources — Selection &amp; Footer</t>
        </is>
      </c>
      <c r="E30" t="inlineStr">
        <is>
          <t>Logic</t>
        </is>
      </c>
      <c r="F30" t="inlineStr">
        <is>
          <t>P0</t>
        </is>
      </c>
      <c r="G30" t="inlineStr">
        <is>
          <t>Cancel after changing selection.</t>
        </is>
      </c>
      <c r="H30" t="inlineStr">
        <is>
          <t>—</t>
        </is>
      </c>
      <c r="I30" t="inlineStr">
        <is>
          <t>Previous applied source unchanged.</t>
        </is>
      </c>
      <c r="J30" t="inlineStr">
        <is>
          <t>— Not tested</t>
        </is>
      </c>
      <c r="K30" t="inlineStr">
        <is>
          <t>— Not tested</t>
        </is>
      </c>
      <c r="L30" t="inlineStr">
        <is>
          <t>— Not tested</t>
        </is>
      </c>
    </row>
    <row r="31">
      <c r="A31" t="n">
        <v>415</v>
      </c>
      <c r="B31" t="inlineStr">
        <is>
          <t>4 — Sources</t>
        </is>
      </c>
      <c r="C31" t="n">
        <v>38</v>
      </c>
      <c r="D31" t="inlineStr">
        <is>
          <t>Sources — Selection &amp; Footer</t>
        </is>
      </c>
      <c r="E31" t="inlineStr">
        <is>
          <t>Logic</t>
        </is>
      </c>
      <c r="F31" t="inlineStr">
        <is>
          <t>P0</t>
        </is>
      </c>
      <c r="G31" t="inlineStr">
        <is>
          <t>Go with new selection.</t>
        </is>
      </c>
      <c r="H31" t="inlineStr">
        <is>
          <t>—</t>
        </is>
      </c>
      <c r="I31" t="inlineStr">
        <is>
          <t>Dashboard reloads with new source.</t>
        </is>
      </c>
      <c r="J31" t="inlineStr">
        <is>
          <t>— Not tested</t>
        </is>
      </c>
      <c r="K31" t="inlineStr">
        <is>
          <t>— Not tested</t>
        </is>
      </c>
      <c r="L31" t="inlineStr">
        <is>
          <t>— Not tested</t>
        </is>
      </c>
    </row>
    <row r="32">
      <c r="A32" t="n">
        <v>416</v>
      </c>
      <c r="B32" t="inlineStr">
        <is>
          <t>4 — Sources</t>
        </is>
      </c>
      <c r="C32" t="n">
        <v>39</v>
      </c>
      <c r="D32" t="inlineStr">
        <is>
          <t>Sources — Go Behavior &amp; Banner</t>
        </is>
      </c>
      <c r="E32" t="inlineStr">
        <is>
          <t>Logic</t>
        </is>
      </c>
      <c r="F32" t="inlineStr">
        <is>
          <t>P0</t>
        </is>
      </c>
      <c r="G32" t="inlineStr">
        <is>
          <t>Go: backtest session → dashboard metrics.</t>
        </is>
      </c>
      <c r="H32" t="inlineStr">
        <is>
          <t>session</t>
        </is>
      </c>
      <c r="I32" t="inlineStr">
        <is>
          <t>Metrics match session trades.</t>
        </is>
      </c>
      <c r="J32" t="inlineStr">
        <is>
          <t>— Not tested</t>
        </is>
      </c>
      <c r="K32" t="inlineStr">
        <is>
          <t>— Not tested</t>
        </is>
      </c>
      <c r="L32" t="inlineStr">
        <is>
          <t>— Not tested</t>
        </is>
      </c>
    </row>
    <row r="33">
      <c r="A33" t="n">
        <v>417</v>
      </c>
      <c r="B33" t="inlineStr">
        <is>
          <t>4 — Sources</t>
        </is>
      </c>
      <c r="C33" t="n">
        <v>39</v>
      </c>
      <c r="D33" t="inlineStr">
        <is>
          <t>Sources — Go Behavior &amp; Banner</t>
        </is>
      </c>
      <c r="E33" t="inlineStr">
        <is>
          <t>Logic</t>
        </is>
      </c>
      <c r="F33" t="inlineStr">
        <is>
          <t>P1</t>
        </is>
      </c>
      <c r="G33" t="inlineStr">
        <is>
          <t>Go: strategy all children.</t>
        </is>
      </c>
      <c r="H33" t="inlineStr">
        <is>
          <t>strategy full</t>
        </is>
      </c>
      <c r="I33" t="inlineStr">
        <is>
          <t>Aggregated P&amp;L.</t>
        </is>
      </c>
      <c r="J33" t="inlineStr">
        <is>
          <t>— Not tested</t>
        </is>
      </c>
      <c r="K33" t="inlineStr">
        <is>
          <t>— Not tested</t>
        </is>
      </c>
      <c r="L33" t="inlineStr">
        <is>
          <t>— Not tested</t>
        </is>
      </c>
    </row>
    <row r="34">
      <c r="A34" t="n">
        <v>418</v>
      </c>
      <c r="B34" t="inlineStr">
        <is>
          <t>4 — Sources</t>
        </is>
      </c>
      <c r="C34" t="n">
        <v>39</v>
      </c>
      <c r="D34" t="inlineStr">
        <is>
          <t>Sources — Go Behavior &amp; Banner</t>
        </is>
      </c>
      <c r="E34" t="inlineStr">
        <is>
          <t>Logic</t>
        </is>
      </c>
      <c r="F34" t="inlineStr">
        <is>
          <t>P1</t>
        </is>
      </c>
      <c r="G34" t="inlineStr">
        <is>
          <t>Go: strategy 2 of 5 children.</t>
        </is>
      </c>
      <c r="H34" t="inlineStr">
        <is>
          <t>partial</t>
        </is>
      </c>
      <c r="I34" t="inlineStr">
        <is>
          <t>Metrics scope to 2 only.</t>
        </is>
      </c>
      <c r="J34" t="inlineStr">
        <is>
          <t>— Not tested</t>
        </is>
      </c>
      <c r="K34" t="inlineStr">
        <is>
          <t>— Not tested</t>
        </is>
      </c>
      <c r="L34" t="inlineStr">
        <is>
          <t>— Not tested</t>
        </is>
      </c>
    </row>
    <row r="35">
      <c r="A35" t="n">
        <v>419</v>
      </c>
      <c r="B35" t="inlineStr">
        <is>
          <t>4 — Sources</t>
        </is>
      </c>
      <c r="C35" t="n">
        <v>39</v>
      </c>
      <c r="D35" t="inlineStr">
        <is>
          <t>Sources — Go Behavior &amp; Banner</t>
        </is>
      </c>
      <c r="E35" t="inlineStr">
        <is>
          <t>Logic</t>
        </is>
      </c>
      <c r="F35" t="inlineStr">
        <is>
          <t>P0</t>
        </is>
      </c>
      <c r="G35" t="inlineStr">
        <is>
          <t>Go: journal account.</t>
        </is>
      </c>
      <c r="H35" t="inlineStr">
        <is>
          <t>journal</t>
        </is>
      </c>
      <c r="I35" t="inlineStr">
        <is>
          <t>All journal trades in scope.</t>
        </is>
      </c>
      <c r="J35" t="inlineStr">
        <is>
          <t>— Not tested</t>
        </is>
      </c>
      <c r="K35" t="inlineStr">
        <is>
          <t>— Not tested</t>
        </is>
      </c>
      <c r="L35" t="inlineStr">
        <is>
          <t>— Not tested</t>
        </is>
      </c>
    </row>
    <row r="36">
      <c r="A36" t="n">
        <v>420</v>
      </c>
      <c r="B36" t="inlineStr">
        <is>
          <t>4 — Sources</t>
        </is>
      </c>
      <c r="C36" t="n">
        <v>39</v>
      </c>
      <c r="D36" t="inlineStr">
        <is>
          <t>Sources — Go Behavior &amp; Banner</t>
        </is>
      </c>
      <c r="E36" t="inlineStr">
        <is>
          <t>Logic</t>
        </is>
      </c>
      <c r="F36" t="inlineStr">
        <is>
          <t>P1</t>
        </is>
      </c>
      <c r="G36" t="inlineStr">
        <is>
          <t>Banner after Go: correct type badge color.</t>
        </is>
      </c>
      <c r="H36" t="inlineStr">
        <is>
          <t>—</t>
        </is>
      </c>
      <c r="I36" t="inlineStr">
        <is>
          <t>Backtest=blue, Journal=green.</t>
        </is>
      </c>
      <c r="J36" t="inlineStr">
        <is>
          <t>— Not tested</t>
        </is>
      </c>
      <c r="K36" t="inlineStr">
        <is>
          <t>— Not tested</t>
        </is>
      </c>
      <c r="L36" t="inlineStr">
        <is>
          <t>— Not tested</t>
        </is>
      </c>
    </row>
    <row r="37">
      <c r="A37" t="n">
        <v>421</v>
      </c>
      <c r="B37" t="inlineStr">
        <is>
          <t>4 — Sources</t>
        </is>
      </c>
      <c r="C37" t="n">
        <v>39</v>
      </c>
      <c r="D37" t="inlineStr">
        <is>
          <t>Sources — Go Behavior &amp; Banner</t>
        </is>
      </c>
      <c r="E37" t="inlineStr">
        <is>
          <t>Logic</t>
        </is>
      </c>
      <c r="F37" t="inlineStr">
        <is>
          <t>P0</t>
        </is>
      </c>
      <c r="G37" t="inlineStr">
        <is>
          <t>Banner trade count matches table.</t>
        </is>
      </c>
      <c r="H37" t="inlineStr">
        <is>
          <t>—</t>
        </is>
      </c>
      <c r="I37" t="inlineStr">
        <is>
          <t>Counts equal.</t>
        </is>
      </c>
      <c r="J37" t="inlineStr">
        <is>
          <t>— Not tested</t>
        </is>
      </c>
      <c r="K37" t="inlineStr">
        <is>
          <t>— Not tested</t>
        </is>
      </c>
      <c r="L37" t="inlineStr">
        <is>
          <t>— Not tested</t>
        </is>
      </c>
    </row>
    <row r="38">
      <c r="A38" t="n">
        <v>422</v>
      </c>
      <c r="B38" t="inlineStr">
        <is>
          <t>4 — Sources</t>
        </is>
      </c>
      <c r="C38" t="n">
        <v>39</v>
      </c>
      <c r="D38" t="inlineStr">
        <is>
          <t>Sources — Go Behavior &amp; Banner</t>
        </is>
      </c>
      <c r="E38" t="inlineStr">
        <is>
          <t>Logic</t>
        </is>
      </c>
      <c r="F38" t="inlineStr">
        <is>
          <t>P2</t>
        </is>
      </c>
      <c r="G38" t="inlineStr">
        <is>
          <t>Empty journal: Create Journal CTA.</t>
        </is>
      </c>
      <c r="H38" t="inlineStr">
        <is>
          <t>—</t>
        </is>
      </c>
      <c r="I38" t="inlineStr">
        <is>
          <t>Button works.</t>
        </is>
      </c>
      <c r="J38" t="inlineStr">
        <is>
          <t>— Not tested</t>
        </is>
      </c>
      <c r="K38" t="inlineStr">
        <is>
          <t>— Not tested</t>
        </is>
      </c>
      <c r="L38" t="inlineStr">
        <is>
          <t>— Not tested</t>
        </is>
      </c>
    </row>
    <row r="39">
      <c r="A39" t="n">
        <v>423</v>
      </c>
      <c r="B39" t="inlineStr">
        <is>
          <t>4 — Sources</t>
        </is>
      </c>
      <c r="C39" t="n">
        <v>39</v>
      </c>
      <c r="D39" t="inlineStr">
        <is>
          <t>Sources — Go Behavior &amp; Banner</t>
        </is>
      </c>
      <c r="E39" t="inlineStr">
        <is>
          <t>Logic</t>
        </is>
      </c>
      <c r="F39" t="inlineStr">
        <is>
          <t>P2</t>
        </is>
      </c>
      <c r="G39" t="inlineStr">
        <is>
          <t>Empty journal: Add Trade CTA.</t>
        </is>
      </c>
      <c r="H39" t="inlineStr">
        <is>
          <t>—</t>
        </is>
      </c>
      <c r="I39" t="inlineStr">
        <is>
          <t>Opens add trade.</t>
        </is>
      </c>
      <c r="J39" t="inlineStr">
        <is>
          <t>— Not tested</t>
        </is>
      </c>
      <c r="K39" t="inlineStr">
        <is>
          <t>— Not tested</t>
        </is>
      </c>
      <c r="L39" t="inlineStr">
        <is>
          <t>— Not tested</t>
        </is>
      </c>
    </row>
    <row r="40">
      <c r="A40" t="n">
        <v>424</v>
      </c>
      <c r="B40" t="inlineStr">
        <is>
          <t>4 — Sources</t>
        </is>
      </c>
      <c r="C40" t="n">
        <v>40</v>
      </c>
      <c r="D40" t="inlineStr">
        <is>
          <t>Sources — Header Actions &amp; Compare</t>
        </is>
      </c>
      <c r="E40" t="inlineStr">
        <is>
          <t>Configuration</t>
        </is>
      </c>
      <c r="F40" t="inlineStr">
        <is>
          <t>P1</t>
        </is>
      </c>
      <c r="G40" t="inlineStr">
        <is>
          <t>Library header Create Session.</t>
        </is>
      </c>
      <c r="H40" t="inlineStr">
        <is>
          <t>—</t>
        </is>
      </c>
      <c r="I40" t="inlineStr">
        <is>
          <t>New session flow.</t>
        </is>
      </c>
      <c r="J40" t="inlineStr">
        <is>
          <t>— Not tested</t>
        </is>
      </c>
      <c r="K40" t="inlineStr">
        <is>
          <t>— Not tested</t>
        </is>
      </c>
      <c r="L40" t="inlineStr">
        <is>
          <t>— Not tested</t>
        </is>
      </c>
    </row>
    <row r="41">
      <c r="A41" t="n">
        <v>425</v>
      </c>
      <c r="B41" t="inlineStr">
        <is>
          <t>4 — Sources</t>
        </is>
      </c>
      <c r="C41" t="n">
        <v>40</v>
      </c>
      <c r="D41" t="inlineStr">
        <is>
          <t>Sources — Header Actions &amp; Compare</t>
        </is>
      </c>
      <c r="E41" t="inlineStr">
        <is>
          <t>Configuration</t>
        </is>
      </c>
      <c r="F41" t="inlineStr">
        <is>
          <t>P1</t>
        </is>
      </c>
      <c r="G41" t="inlineStr">
        <is>
          <t>Library header Create Journal.</t>
        </is>
      </c>
      <c r="H41" t="inlineStr">
        <is>
          <t>—</t>
        </is>
      </c>
      <c r="I41" t="inlineStr">
        <is>
          <t>Journal modal.</t>
        </is>
      </c>
      <c r="J41" t="inlineStr">
        <is>
          <t>— Not tested</t>
        </is>
      </c>
      <c r="K41" t="inlineStr">
        <is>
          <t>— Not tested</t>
        </is>
      </c>
      <c r="L41" t="inlineStr">
        <is>
          <t>— Not tested</t>
        </is>
      </c>
    </row>
    <row r="42">
      <c r="A42" t="n">
        <v>426</v>
      </c>
      <c r="B42" t="inlineStr">
        <is>
          <t>4 — Sources</t>
        </is>
      </c>
      <c r="C42" t="n">
        <v>40</v>
      </c>
      <c r="D42" t="inlineStr">
        <is>
          <t>Sources — Header Actions &amp; Compare</t>
        </is>
      </c>
      <c r="E42" t="inlineStr">
        <is>
          <t>Configuration</t>
        </is>
      </c>
      <c r="F42" t="inlineStr">
        <is>
          <t>P1</t>
        </is>
      </c>
      <c r="G42" t="inlineStr">
        <is>
          <t>Library header Add Trade.</t>
        </is>
      </c>
      <c r="H42" t="inlineStr">
        <is>
          <t>—</t>
        </is>
      </c>
      <c r="I42" t="inlineStr">
        <is>
          <t>Add trade picker.</t>
        </is>
      </c>
      <c r="J42" t="inlineStr">
        <is>
          <t>— Not tested</t>
        </is>
      </c>
      <c r="K42" t="inlineStr">
        <is>
          <t>— Not tested</t>
        </is>
      </c>
      <c r="L42" t="inlineStr">
        <is>
          <t>— Not tested</t>
        </is>
      </c>
    </row>
    <row r="43">
      <c r="A43" t="n">
        <v>427</v>
      </c>
      <c r="B43" t="inlineStr">
        <is>
          <t>4 — Sources</t>
        </is>
      </c>
      <c r="C43" t="n">
        <v>40</v>
      </c>
      <c r="D43" t="inlineStr">
        <is>
          <t>Sources — Header Actions &amp; Compare</t>
        </is>
      </c>
      <c r="E43" t="inlineStr">
        <is>
          <t>Configuration</t>
        </is>
      </c>
      <c r="F43" t="inlineStr">
        <is>
          <t>P1</t>
        </is>
      </c>
      <c r="G43" t="inlineStr">
        <is>
          <t>Compare mode: select 2 backtest sessions.</t>
        </is>
      </c>
      <c r="H43" t="inlineStr">
        <is>
          <t>2 sessions</t>
        </is>
      </c>
      <c r="I43" t="inlineStr">
        <is>
          <t>Compare chip shows both.</t>
        </is>
      </c>
      <c r="J43" t="inlineStr">
        <is>
          <t>— Not tested</t>
        </is>
      </c>
      <c r="K43" t="inlineStr">
        <is>
          <t>— Not tested</t>
        </is>
      </c>
      <c r="L43" t="inlineStr">
        <is>
          <t>— Not tested</t>
        </is>
      </c>
    </row>
    <row r="44">
      <c r="A44" t="n">
        <v>428</v>
      </c>
      <c r="B44" t="inlineStr">
        <is>
          <t>4 — Sources</t>
        </is>
      </c>
      <c r="C44" t="n">
        <v>40</v>
      </c>
      <c r="D44" t="inlineStr">
        <is>
          <t>Sources — Header Actions &amp; Compare</t>
        </is>
      </c>
      <c r="E44" t="inlineStr">
        <is>
          <t>Configuration</t>
        </is>
      </c>
      <c r="F44" t="inlineStr">
        <is>
          <t>P2</t>
        </is>
      </c>
      <c r="G44" t="inlineStr">
        <is>
          <t>Compare: 3+ sources if multi-select.</t>
        </is>
      </c>
      <c r="H44" t="inlineStr">
        <is>
          <t>3+</t>
        </is>
      </c>
      <c r="I44" t="inlineStr">
        <is>
          <t>All active.</t>
        </is>
      </c>
      <c r="J44" t="inlineStr">
        <is>
          <t>— Not tested</t>
        </is>
      </c>
      <c r="K44" t="inlineStr">
        <is>
          <t>— Not tested</t>
        </is>
      </c>
      <c r="L44" t="inlineStr">
        <is>
          <t>— Not tested</t>
        </is>
      </c>
    </row>
    <row r="45">
      <c r="A45" t="n">
        <v>429</v>
      </c>
      <c r="B45" t="inlineStr">
        <is>
          <t>4 — Sources</t>
        </is>
      </c>
      <c r="C45" t="n">
        <v>40</v>
      </c>
      <c r="D45" t="inlineStr">
        <is>
          <t>Sources — Header Actions &amp; Compare</t>
        </is>
      </c>
      <c r="E45" t="inlineStr">
        <is>
          <t>Configuration</t>
        </is>
      </c>
      <c r="F45" t="inlineStr">
        <is>
          <t>P2</t>
        </is>
      </c>
      <c r="G45" t="inlineStr">
        <is>
          <t>Compare filters separate from main.</t>
        </is>
      </c>
      <c r="H45" t="inlineStr">
        <is>
          <t>—</t>
        </is>
      </c>
      <c r="I45" t="inlineStr">
        <is>
          <t>Compare scope independent.</t>
        </is>
      </c>
      <c r="J45" t="inlineStr">
        <is>
          <t>— Not tested</t>
        </is>
      </c>
      <c r="K45" t="inlineStr">
        <is>
          <t>— Not tested</t>
        </is>
      </c>
      <c r="L45" t="inlineStr">
        <is>
          <t>— Not tested</t>
        </is>
      </c>
    </row>
    <row r="46">
      <c r="A46" t="n">
        <v>430</v>
      </c>
      <c r="B46" t="inlineStr">
        <is>
          <t>4 — Sources</t>
        </is>
      </c>
      <c r="C46" t="n">
        <v>40</v>
      </c>
      <c r="D46" t="inlineStr">
        <is>
          <t>Sources — Header Actions &amp; Compare</t>
        </is>
      </c>
      <c r="E46" t="inlineStr">
        <is>
          <t>Configuration</t>
        </is>
      </c>
      <c r="F46" t="inlineStr">
        <is>
          <t>P1</t>
        </is>
      </c>
      <c r="G46" t="inlineStr">
        <is>
          <t>Clear compare trash icon.</t>
        </is>
      </c>
      <c r="H46" t="inlineStr">
        <is>
          <t>—</t>
        </is>
      </c>
      <c r="I46" t="inlineStr">
        <is>
          <t>Exits compare; single source.</t>
        </is>
      </c>
      <c r="J46" t="inlineStr">
        <is>
          <t>— Not tested</t>
        </is>
      </c>
      <c r="K46" t="inlineStr">
        <is>
          <t>— Not tested</t>
        </is>
      </c>
      <c r="L46" t="inlineStr">
        <is>
          <t>— Not tested</t>
        </is>
      </c>
    </row>
    <row r="47">
      <c r="A47" t="n">
        <v>431</v>
      </c>
      <c r="B47" t="inlineStr">
        <is>
          <t>4 — Sources</t>
        </is>
      </c>
      <c r="C47" t="n">
        <v>40</v>
      </c>
      <c r="D47" t="inlineStr">
        <is>
          <t>Sources — Header Actions &amp; Compare</t>
        </is>
      </c>
      <c r="E47" t="inlineStr">
        <is>
          <t>Configuration</t>
        </is>
      </c>
      <c r="F47" t="inlineStr">
        <is>
          <t>P1</t>
        </is>
      </c>
      <c r="G47" t="inlineStr">
        <is>
          <t>Dashboard metrics under compare.</t>
        </is>
      </c>
      <c r="H47" t="inlineStr">
        <is>
          <t>—</t>
        </is>
      </c>
      <c r="I47" t="inlineStr">
        <is>
          <t>Side-by-side or combined view correct.</t>
        </is>
      </c>
      <c r="J47" t="inlineStr">
        <is>
          <t>— Not tested</t>
        </is>
      </c>
      <c r="K47" t="inlineStr">
        <is>
          <t>— Not tested</t>
        </is>
      </c>
      <c r="L47" t="inlineStr">
        <is>
          <t>— Not tested</t>
        </is>
      </c>
    </row>
    <row r="48">
      <c r="A48" t="n">
        <v>432</v>
      </c>
      <c r="B48" t="inlineStr">
        <is>
          <t>4 — Sources</t>
        </is>
      </c>
      <c r="C48" t="n">
        <v>41</v>
      </c>
      <c r="D48" t="inlineStr">
        <is>
          <t>Cross-Section Integration</t>
        </is>
      </c>
      <c r="E48" t="inlineStr">
        <is>
          <t>Logic</t>
        </is>
      </c>
      <c r="F48" t="inlineStr">
        <is>
          <t>P0</t>
        </is>
      </c>
      <c r="G48" t="inlineStr">
        <is>
          <t>Strategy ⋯ New Session → complete modal → Start.</t>
        </is>
      </c>
      <c r="H48" t="inlineStr">
        <is>
          <t>—</t>
        </is>
      </c>
      <c r="I48" t="inlineStr">
        <is>
          <t>Chart opens with strategy linked.</t>
        </is>
      </c>
      <c r="J48" t="inlineStr">
        <is>
          <t>— Not tested</t>
        </is>
      </c>
      <c r="K48" t="inlineStr">
        <is>
          <t>— Not tested</t>
        </is>
      </c>
      <c r="L48" t="inlineStr">
        <is>
          <t>— Not tested</t>
        </is>
      </c>
    </row>
    <row r="49">
      <c r="A49" t="n">
        <v>433</v>
      </c>
      <c r="B49" t="inlineStr">
        <is>
          <t>4 — Sources</t>
        </is>
      </c>
      <c r="C49" t="n">
        <v>41</v>
      </c>
      <c r="D49" t="inlineStr">
        <is>
          <t>Cross-Section Integration</t>
        </is>
      </c>
      <c r="E49" t="inlineStr">
        <is>
          <t>Logic</t>
        </is>
      </c>
      <c r="F49" t="inlineStr">
        <is>
          <t>P0</t>
        </is>
      </c>
      <c r="G49" t="inlineStr">
        <is>
          <t>Session Resume → place trade in chart → see in Trades.</t>
        </is>
      </c>
      <c r="H49" t="inlineStr">
        <is>
          <t>—</t>
        </is>
      </c>
      <c r="I49" t="inlineStr">
        <is>
          <t>Trade appears in table.</t>
        </is>
      </c>
      <c r="J49" t="inlineStr">
        <is>
          <t>— Not tested</t>
        </is>
      </c>
      <c r="K49" t="inlineStr">
        <is>
          <t>— Not tested</t>
        </is>
      </c>
      <c r="L49" t="inlineStr">
        <is>
          <t>— Not tested</t>
        </is>
      </c>
    </row>
    <row r="50">
      <c r="A50" t="n">
        <v>434</v>
      </c>
      <c r="B50" t="inlineStr">
        <is>
          <t>4 — Sources</t>
        </is>
      </c>
      <c r="C50" t="n">
        <v>41</v>
      </c>
      <c r="D50" t="inlineStr">
        <is>
          <t>Cross-Section Integration</t>
        </is>
      </c>
      <c r="E50" t="inlineStr">
        <is>
          <t>Logic</t>
        </is>
      </c>
      <c r="F50" t="inlineStr">
        <is>
          <t>P0</t>
        </is>
      </c>
      <c r="G50" t="inlineStr">
        <is>
          <t>Sources Go → Trades tab: same trade count.</t>
        </is>
      </c>
      <c r="H50" t="inlineStr">
        <is>
          <t>—</t>
        </is>
      </c>
      <c r="I50" t="inlineStr">
        <is>
          <t>Consistent scope.</t>
        </is>
      </c>
      <c r="J50" t="inlineStr">
        <is>
          <t>— Not tested</t>
        </is>
      </c>
      <c r="K50" t="inlineStr">
        <is>
          <t>— Not tested</t>
        </is>
      </c>
      <c r="L50" t="inlineStr">
        <is>
          <t>— Not tested</t>
        </is>
      </c>
    </row>
    <row r="51">
      <c r="A51" t="n">
        <v>435</v>
      </c>
      <c r="B51" t="inlineStr">
        <is>
          <t>4 — Sources</t>
        </is>
      </c>
      <c r="C51" t="n">
        <v>41</v>
      </c>
      <c r="D51" t="inlineStr">
        <is>
          <t>Cross-Section Integration</t>
        </is>
      </c>
      <c r="E51" t="inlineStr">
        <is>
          <t>Logic</t>
        </is>
      </c>
      <c r="F51" t="inlineStr">
        <is>
          <t>P1</t>
        </is>
      </c>
      <c r="G51" t="inlineStr">
        <is>
          <t>Add Trade tags from strategy builder → visible on trade row.</t>
        </is>
      </c>
      <c r="H51" t="inlineStr">
        <is>
          <t>—</t>
        </is>
      </c>
      <c r="I51" t="inlineStr">
        <is>
          <t>Tag presets match.</t>
        </is>
      </c>
      <c r="J51" t="inlineStr">
        <is>
          <t>— Not tested</t>
        </is>
      </c>
      <c r="K51" t="inlineStr">
        <is>
          <t>— Not tested</t>
        </is>
      </c>
      <c r="L51" t="inlineStr">
        <is>
          <t>— Not tested</t>
        </is>
      </c>
    </row>
    <row r="52">
      <c r="A52" t="n">
        <v>436</v>
      </c>
      <c r="B52" t="inlineStr">
        <is>
          <t>4 — Sources</t>
        </is>
      </c>
      <c r="C52" t="n">
        <v>41</v>
      </c>
      <c r="D52" t="inlineStr">
        <is>
          <t>Cross-Section Integration</t>
        </is>
      </c>
      <c r="E52" t="inlineStr">
        <is>
          <t>Logic</t>
        </is>
      </c>
      <c r="F52" t="inlineStr">
        <is>
          <t>P0</t>
        </is>
      </c>
      <c r="G52" t="inlineStr">
        <is>
          <t>Full loop: Build strategy → New session → Resume → Add manual trade → Sources verify.</t>
        </is>
      </c>
      <c r="H52" t="inlineStr">
        <is>
          <t>end-to-end</t>
        </is>
      </c>
      <c r="I52" t="inlineStr">
        <is>
          <t>All sections consistent.</t>
        </is>
      </c>
      <c r="J52" t="inlineStr">
        <is>
          <t>— Not tested</t>
        </is>
      </c>
      <c r="K52" t="inlineStr">
        <is>
          <t>— Not tested</t>
        </is>
      </c>
      <c r="L52" t="inlineStr">
        <is>
          <t>— Not tested</t>
        </is>
      </c>
    </row>
    <row r="53">
      <c r="A53" t="n">
        <v>481</v>
      </c>
      <c r="B53" t="inlineStr">
        <is>
          <t>4 — Sources</t>
        </is>
      </c>
      <c r="C53" t="n">
        <v>48</v>
      </c>
      <c r="D53" t="inlineStr">
        <is>
          <t>Sources — Type Badge &amp; Footer Visuals</t>
        </is>
      </c>
      <c r="E53" t="inlineStr">
        <is>
          <t>Structure</t>
        </is>
      </c>
      <c r="F53" t="inlineStr">
        <is>
          <t>P1</t>
        </is>
      </c>
      <c r="G53" t="inlineStr">
        <is>
          <t>Select **backtest session**; inspect footer badge.</t>
        </is>
      </c>
      <c r="H53" t="inlineStr">
        <is>
          <t>backtest session</t>
        </is>
      </c>
      <c r="I53" t="inlineStr">
        <is>
          <t>Badge shows Backtest blue; after Go: Dashboard shows session trades.</t>
        </is>
      </c>
      <c r="J53" t="inlineStr">
        <is>
          <t>— Not tested</t>
        </is>
      </c>
      <c r="K53" t="inlineStr">
        <is>
          <t>— Not tested</t>
        </is>
      </c>
      <c r="L53" t="inlineStr">
        <is>
          <t>— Not tested</t>
        </is>
      </c>
    </row>
    <row r="54">
      <c r="A54" t="n">
        <v>482</v>
      </c>
      <c r="B54" t="inlineStr">
        <is>
          <t>4 — Sources</t>
        </is>
      </c>
      <c r="C54" t="n">
        <v>48</v>
      </c>
      <c r="D54" t="inlineStr">
        <is>
          <t>Sources — Type Badge &amp; Footer Visuals</t>
        </is>
      </c>
      <c r="E54" t="inlineStr">
        <is>
          <t>Structure</t>
        </is>
      </c>
      <c r="F54" t="inlineStr">
        <is>
          <t>P1</t>
        </is>
      </c>
      <c r="G54" t="inlineStr">
        <is>
          <t>Select **prop session**; inspect footer badge.</t>
        </is>
      </c>
      <c r="H54" t="inlineStr">
        <is>
          <t>prop session</t>
        </is>
      </c>
      <c r="I54" t="inlineStr">
        <is>
          <t>Badge shows Prop gold; after Go: Prop metrics if any.</t>
        </is>
      </c>
      <c r="J54" t="inlineStr">
        <is>
          <t>— Not tested</t>
        </is>
      </c>
      <c r="K54" t="inlineStr">
        <is>
          <t>— Not tested</t>
        </is>
      </c>
      <c r="L54" t="inlineStr">
        <is>
          <t>— Not tested</t>
        </is>
      </c>
    </row>
    <row r="55">
      <c r="A55" t="n">
        <v>483</v>
      </c>
      <c r="B55" t="inlineStr">
        <is>
          <t>4 — Sources</t>
        </is>
      </c>
      <c r="C55" t="n">
        <v>48</v>
      </c>
      <c r="D55" t="inlineStr">
        <is>
          <t>Sources — Type Badge &amp; Footer Visuals</t>
        </is>
      </c>
      <c r="E55" t="inlineStr">
        <is>
          <t>Structure</t>
        </is>
      </c>
      <c r="F55" t="inlineStr">
        <is>
          <t>P1</t>
        </is>
      </c>
      <c r="G55" t="inlineStr">
        <is>
          <t>Select **strategy aggregate**; inspect footer badge.</t>
        </is>
      </c>
      <c r="H55" t="inlineStr">
        <is>
          <t>strategy aggregate</t>
        </is>
      </c>
      <c r="I55" t="inlineStr">
        <is>
          <t>Badge shows Strategy; after Go: Multi-session rollup.</t>
        </is>
      </c>
      <c r="J55" t="inlineStr">
        <is>
          <t>— Not tested</t>
        </is>
      </c>
      <c r="K55" t="inlineStr">
        <is>
          <t>— Not tested</t>
        </is>
      </c>
      <c r="L55" t="inlineStr">
        <is>
          <t>— Not tested</t>
        </is>
      </c>
    </row>
    <row r="56">
      <c r="A56" t="n">
        <v>484</v>
      </c>
      <c r="B56" t="inlineStr">
        <is>
          <t>4 — Sources</t>
        </is>
      </c>
      <c r="C56" t="n">
        <v>48</v>
      </c>
      <c r="D56" t="inlineStr">
        <is>
          <t>Sources — Type Badge &amp; Footer Visuals</t>
        </is>
      </c>
      <c r="E56" t="inlineStr">
        <is>
          <t>Structure</t>
        </is>
      </c>
      <c r="F56" t="inlineStr">
        <is>
          <t>P1</t>
        </is>
      </c>
      <c r="G56" t="inlineStr">
        <is>
          <t>Select **journal account**; inspect footer badge.</t>
        </is>
      </c>
      <c r="H56" t="inlineStr">
        <is>
          <t>journal account</t>
        </is>
      </c>
      <c r="I56" t="inlineStr">
        <is>
          <t>Badge shows Journal green; after Go: Live journal trades.</t>
        </is>
      </c>
      <c r="J56" t="inlineStr">
        <is>
          <t>— Not tested</t>
        </is>
      </c>
      <c r="K56" t="inlineStr">
        <is>
          <t>— Not tested</t>
        </is>
      </c>
      <c r="L56" t="inlineStr">
        <is>
          <t>— Not tested</t>
        </is>
      </c>
    </row>
    <row r="57">
      <c r="A57" t="n">
        <v>485</v>
      </c>
      <c r="B57" t="inlineStr">
        <is>
          <t>4 — Sources</t>
        </is>
      </c>
      <c r="C57" t="n">
        <v>48</v>
      </c>
      <c r="D57" t="inlineStr">
        <is>
          <t>Sources — Type Badge &amp; Footer Visuals</t>
        </is>
      </c>
      <c r="E57" t="inlineStr">
        <is>
          <t>Structure</t>
        </is>
      </c>
      <c r="F57" t="inlineStr">
        <is>
          <t>P1</t>
        </is>
      </c>
      <c r="G57" t="inlineStr">
        <is>
          <t>Select **journal single entry**; inspect footer badge.</t>
        </is>
      </c>
      <c r="H57" t="inlineStr">
        <is>
          <t>journal single entry</t>
        </is>
      </c>
      <c r="I57" t="inlineStr">
        <is>
          <t>Badge shows Journal entry; after Go: Single trade scope.</t>
        </is>
      </c>
      <c r="J57" t="inlineStr">
        <is>
          <t>— Not tested</t>
        </is>
      </c>
      <c r="K57" t="inlineStr">
        <is>
          <t>— Not tested</t>
        </is>
      </c>
      <c r="L57" t="inlineStr">
        <is>
          <t>— Not tested</t>
        </is>
      </c>
    </row>
    <row r="58">
      <c r="A58" t="n">
        <v>486</v>
      </c>
      <c r="B58" t="inlineStr">
        <is>
          <t>4 — Sources</t>
        </is>
      </c>
      <c r="C58" t="n">
        <v>48</v>
      </c>
      <c r="D58" t="inlineStr">
        <is>
          <t>Sources — Type Badge &amp; Footer Visuals</t>
        </is>
      </c>
      <c r="E58" t="inlineStr">
        <is>
          <t>Structure</t>
        </is>
      </c>
      <c r="F58" t="inlineStr">
        <is>
          <t>P2</t>
        </is>
      </c>
      <c r="G58" t="inlineStr">
        <is>
          <t>List row: trade count label format.</t>
        </is>
      </c>
      <c r="H58" t="inlineStr">
        <is>
          <t>—</t>
        </is>
      </c>
      <c r="I58" t="inlineStr">
        <is>
          <t>e.g. '42 trades' readable.</t>
        </is>
      </c>
      <c r="J58" t="inlineStr">
        <is>
          <t>— Not tested</t>
        </is>
      </c>
      <c r="K58" t="inlineStr">
        <is>
          <t>— Not tested</t>
        </is>
      </c>
      <c r="L58" t="inlineStr">
        <is>
          <t>— Not tested</t>
        </is>
      </c>
    </row>
    <row r="59">
      <c r="A59" t="n">
        <v>487</v>
      </c>
      <c r="B59" t="inlineStr">
        <is>
          <t>4 — Sources</t>
        </is>
      </c>
      <c r="C59" t="n">
        <v>48</v>
      </c>
      <c r="D59" t="inlineStr">
        <is>
          <t>Sources — Type Badge &amp; Footer Visuals</t>
        </is>
      </c>
      <c r="E59" t="inlineStr">
        <is>
          <t>Structure</t>
        </is>
      </c>
      <c r="F59" t="inlineStr">
        <is>
          <t>P2</t>
        </is>
      </c>
      <c r="G59" t="inlineStr">
        <is>
          <t>List row: date range format.</t>
        </is>
      </c>
      <c r="H59" t="inlineStr">
        <is>
          <t>—</t>
        </is>
      </c>
      <c r="I59" t="inlineStr">
        <is>
          <t>ISO or locale dates consistent.</t>
        </is>
      </c>
      <c r="J59" t="inlineStr">
        <is>
          <t>— Not tested</t>
        </is>
      </c>
      <c r="K59" t="inlineStr">
        <is>
          <t>— Not tested</t>
        </is>
      </c>
      <c r="L59" t="inlineStr">
        <is>
          <t>— Not tested</t>
        </is>
      </c>
    </row>
    <row r="60">
      <c r="A60" t="n">
        <v>488</v>
      </c>
      <c r="B60" t="inlineStr">
        <is>
          <t>4 — Sources</t>
        </is>
      </c>
      <c r="C60" t="n">
        <v>48</v>
      </c>
      <c r="D60" t="inlineStr">
        <is>
          <t>Sources — Type Badge &amp; Footer Visuals</t>
        </is>
      </c>
      <c r="E60" t="inlineStr">
        <is>
          <t>Structure</t>
        </is>
      </c>
      <c r="F60" t="inlineStr">
        <is>
          <t>P2</t>
        </is>
      </c>
      <c r="G60" t="inlineStr">
        <is>
          <t>List row: market label (Forex, Futures).</t>
        </is>
      </c>
      <c r="H60" t="inlineStr">
        <is>
          <t>—</t>
        </is>
      </c>
      <c r="I60" t="inlineStr">
        <is>
          <t>Correct asset class.</t>
        </is>
      </c>
      <c r="J60" t="inlineStr">
        <is>
          <t>— Not tested</t>
        </is>
      </c>
      <c r="K60" t="inlineStr">
        <is>
          <t>— Not tested</t>
        </is>
      </c>
      <c r="L60" t="inlineStr">
        <is>
          <t>— Not tested</t>
        </is>
      </c>
    </row>
    <row r="61">
      <c r="A61" t="n">
        <v>489</v>
      </c>
      <c r="B61" t="inlineStr">
        <is>
          <t>4 — Sources</t>
        </is>
      </c>
      <c r="C61" t="n">
        <v>48</v>
      </c>
      <c r="D61" t="inlineStr">
        <is>
          <t>Sources — Type Badge &amp; Footer Visuals</t>
        </is>
      </c>
      <c r="E61" t="inlineStr">
        <is>
          <t>Structure</t>
        </is>
      </c>
      <c r="F61" t="inlineStr">
        <is>
          <t>P2</t>
        </is>
      </c>
      <c r="G61" t="inlineStr">
        <is>
          <t>Strategy group with 0 children.</t>
        </is>
      </c>
      <c r="H61" t="inlineStr">
        <is>
          <t>empty strategy</t>
        </is>
      </c>
      <c r="I61" t="inlineStr">
        <is>
          <t>Empty state or disabled Go.</t>
        </is>
      </c>
      <c r="J61" t="inlineStr">
        <is>
          <t>— Not tested</t>
        </is>
      </c>
      <c r="K61" t="inlineStr">
        <is>
          <t>— Not tested</t>
        </is>
      </c>
      <c r="L61" t="inlineStr">
        <is>
          <t>— Not tested</t>
        </is>
      </c>
    </row>
    <row r="62">
      <c r="A62" t="n">
        <v>490</v>
      </c>
      <c r="B62" t="inlineStr">
        <is>
          <t>4 — Sources</t>
        </is>
      </c>
      <c r="C62" t="n">
        <v>48</v>
      </c>
      <c r="D62" t="inlineStr">
        <is>
          <t>Sources — Type Badge &amp; Footer Visuals</t>
        </is>
      </c>
      <c r="E62" t="inlineStr">
        <is>
          <t>Structure</t>
        </is>
      </c>
      <c r="F62" t="inlineStr">
        <is>
          <t>P2</t>
        </is>
      </c>
      <c r="G62" t="inlineStr">
        <is>
          <t>Select then rapidly click Go 3 times.</t>
        </is>
      </c>
      <c r="H62" t="inlineStr">
        <is>
          <t>—</t>
        </is>
      </c>
      <c r="I62" t="inlineStr">
        <is>
          <t>No duplicate navigation or crash.</t>
        </is>
      </c>
      <c r="J62" t="inlineStr">
        <is>
          <t>— Not tested</t>
        </is>
      </c>
      <c r="K62" t="inlineStr">
        <is>
          <t>— Not tested</t>
        </is>
      </c>
      <c r="L62" t="inlineStr">
        <is>
          <t>— Not tested</t>
        </is>
      </c>
    </row>
    <row r="63">
      <c r="A63" t="n">
        <v>501</v>
      </c>
      <c r="B63" t="inlineStr">
        <is>
          <t>4 — Sources</t>
        </is>
      </c>
      <c r="C63" t="n">
        <v>50</v>
      </c>
      <c r="D63" t="inlineStr">
        <is>
          <t>Responsive Layout — Sources</t>
        </is>
      </c>
      <c r="E63" t="inlineStr">
        <is>
          <t>Structure</t>
        </is>
      </c>
      <c r="F63" t="inlineStr">
        <is>
          <t>P2</t>
        </is>
      </c>
      <c r="G63" t="inlineStr">
        <is>
          <t>Sources library at **2560px**.</t>
        </is>
      </c>
      <c r="H63" t="inlineStr">
        <is>
          <t>2560px</t>
        </is>
      </c>
      <c r="I63" t="inlineStr">
        <is>
          <t>Tree + list + footer visible.</t>
        </is>
      </c>
      <c r="J63" t="inlineStr">
        <is>
          <t>— Not tested</t>
        </is>
      </c>
      <c r="K63" t="inlineStr">
        <is>
          <t>— Not tested</t>
        </is>
      </c>
      <c r="L63" t="inlineStr">
        <is>
          <t>— Not tested</t>
        </is>
      </c>
    </row>
    <row r="64">
      <c r="A64" t="n">
        <v>505</v>
      </c>
      <c r="B64" t="inlineStr">
        <is>
          <t>4 — Sources</t>
        </is>
      </c>
      <c r="C64" t="n">
        <v>50</v>
      </c>
      <c r="D64" t="inlineStr">
        <is>
          <t>Responsive Layout — Sources</t>
        </is>
      </c>
      <c r="E64" t="inlineStr">
        <is>
          <t>Structure</t>
        </is>
      </c>
      <c r="F64" t="inlineStr">
        <is>
          <t>P2</t>
        </is>
      </c>
      <c r="G64" t="inlineStr">
        <is>
          <t>Sources library at **1920px**.</t>
        </is>
      </c>
      <c r="H64" t="inlineStr">
        <is>
          <t>1920px</t>
        </is>
      </c>
      <c r="I64" t="inlineStr">
        <is>
          <t>Tree + list + footer visible.</t>
        </is>
      </c>
      <c r="J64" t="inlineStr">
        <is>
          <t>— Not tested</t>
        </is>
      </c>
      <c r="K64" t="inlineStr">
        <is>
          <t>— Not tested</t>
        </is>
      </c>
      <c r="L64" t="inlineStr">
        <is>
          <t>— Not tested</t>
        </is>
      </c>
    </row>
    <row r="65">
      <c r="A65" t="n">
        <v>509</v>
      </c>
      <c r="B65" t="inlineStr">
        <is>
          <t>4 — Sources</t>
        </is>
      </c>
      <c r="C65" t="n">
        <v>50</v>
      </c>
      <c r="D65" t="inlineStr">
        <is>
          <t>Responsive Layout — Sources</t>
        </is>
      </c>
      <c r="E65" t="inlineStr">
        <is>
          <t>Structure</t>
        </is>
      </c>
      <c r="F65" t="inlineStr">
        <is>
          <t>P2</t>
        </is>
      </c>
      <c r="G65" t="inlineStr">
        <is>
          <t>Sources library at **1440px**.</t>
        </is>
      </c>
      <c r="H65" t="inlineStr">
        <is>
          <t>1440px</t>
        </is>
      </c>
      <c r="I65" t="inlineStr">
        <is>
          <t>Tree + list + footer visible.</t>
        </is>
      </c>
      <c r="J65" t="inlineStr">
        <is>
          <t>— Not tested</t>
        </is>
      </c>
      <c r="K65" t="inlineStr">
        <is>
          <t>— Not tested</t>
        </is>
      </c>
      <c r="L65" t="inlineStr">
        <is>
          <t>— Not tested</t>
        </is>
      </c>
    </row>
    <row r="66">
      <c r="A66" t="n">
        <v>513</v>
      </c>
      <c r="B66" t="inlineStr">
        <is>
          <t>4 — Sources</t>
        </is>
      </c>
      <c r="C66" t="n">
        <v>50</v>
      </c>
      <c r="D66" t="inlineStr">
        <is>
          <t>Responsive Layout — Sources</t>
        </is>
      </c>
      <c r="E66" t="inlineStr">
        <is>
          <t>Structure</t>
        </is>
      </c>
      <c r="F66" t="inlineStr">
        <is>
          <t>P2</t>
        </is>
      </c>
      <c r="G66" t="inlineStr">
        <is>
          <t>Sources library at **1280px**.</t>
        </is>
      </c>
      <c r="H66" t="inlineStr">
        <is>
          <t>1280px</t>
        </is>
      </c>
      <c r="I66" t="inlineStr">
        <is>
          <t>Tree + list + footer visible.</t>
        </is>
      </c>
      <c r="J66" t="inlineStr">
        <is>
          <t>— Not tested</t>
        </is>
      </c>
      <c r="K66" t="inlineStr">
        <is>
          <t>— Not tested</t>
        </is>
      </c>
      <c r="L66" t="inlineStr">
        <is>
          <t>— Not tested</t>
        </is>
      </c>
    </row>
    <row r="67">
      <c r="A67" t="n">
        <v>517</v>
      </c>
      <c r="B67" t="inlineStr">
        <is>
          <t>4 — Sources</t>
        </is>
      </c>
      <c r="C67" t="n">
        <v>50</v>
      </c>
      <c r="D67" t="inlineStr">
        <is>
          <t>Responsive Layout — Sources</t>
        </is>
      </c>
      <c r="E67" t="inlineStr">
        <is>
          <t>Structure</t>
        </is>
      </c>
      <c r="F67" t="inlineStr">
        <is>
          <t>P2</t>
        </is>
      </c>
      <c r="G67" t="inlineStr">
        <is>
          <t>Sources library at **1024px**.</t>
        </is>
      </c>
      <c r="H67" t="inlineStr">
        <is>
          <t>1024px</t>
        </is>
      </c>
      <c r="I67" t="inlineStr">
        <is>
          <t>Tree + list + footer visible.</t>
        </is>
      </c>
      <c r="J67" t="inlineStr">
        <is>
          <t>— Not tested</t>
        </is>
      </c>
      <c r="K67" t="inlineStr">
        <is>
          <t>— Not tested</t>
        </is>
      </c>
      <c r="L67" t="inlineStr">
        <is>
          <t>— Not tested</t>
        </is>
      </c>
    </row>
    <row r="68">
      <c r="A68" t="n">
        <v>534</v>
      </c>
      <c r="B68" t="inlineStr">
        <is>
          <t>4 — Sources</t>
        </is>
      </c>
      <c r="C68" t="n">
        <v>54</v>
      </c>
      <c r="D68" t="inlineStr">
        <is>
          <t>Sources — Compare Multi-Select</t>
        </is>
      </c>
      <c r="E68" t="inlineStr">
        <is>
          <t>Configuration</t>
        </is>
      </c>
      <c r="F68" t="inlineStr">
        <is>
          <t>P2</t>
        </is>
      </c>
      <c r="G68" t="inlineStr">
        <is>
          <t>Compare mode: select **2** backtest sessions.</t>
        </is>
      </c>
      <c r="H68" t="inlineStr">
        <is>
          <t>2 sessions</t>
        </is>
      </c>
      <c r="I68" t="inlineStr">
        <is>
          <t>Compare chip lists 2 sources; metrics update.</t>
        </is>
      </c>
      <c r="J68" t="inlineStr">
        <is>
          <t>— Not tested</t>
        </is>
      </c>
      <c r="K68" t="inlineStr">
        <is>
          <t>— Not tested</t>
        </is>
      </c>
      <c r="L68" t="inlineStr">
        <is>
          <t>— Not tested</t>
        </is>
      </c>
    </row>
    <row r="69">
      <c r="A69" t="n">
        <v>535</v>
      </c>
      <c r="B69" t="inlineStr">
        <is>
          <t>4 — Sources</t>
        </is>
      </c>
      <c r="C69" t="n">
        <v>54</v>
      </c>
      <c r="D69" t="inlineStr">
        <is>
          <t>Sources — Compare Multi-Select</t>
        </is>
      </c>
      <c r="E69" t="inlineStr">
        <is>
          <t>Configuration</t>
        </is>
      </c>
      <c r="F69" t="inlineStr">
        <is>
          <t>P2</t>
        </is>
      </c>
      <c r="G69" t="inlineStr">
        <is>
          <t>Compare mode: select **3** backtest sessions.</t>
        </is>
      </c>
      <c r="H69" t="inlineStr">
        <is>
          <t>3 sessions</t>
        </is>
      </c>
      <c r="I69" t="inlineStr">
        <is>
          <t>Compare chip lists 3 sources; metrics update.</t>
        </is>
      </c>
      <c r="J69" t="inlineStr">
        <is>
          <t>— Not tested</t>
        </is>
      </c>
      <c r="K69" t="inlineStr">
        <is>
          <t>— Not tested</t>
        </is>
      </c>
      <c r="L69" t="inlineStr">
        <is>
          <t>— Not tested</t>
        </is>
      </c>
    </row>
    <row r="70">
      <c r="A70" t="n">
        <v>536</v>
      </c>
      <c r="B70" t="inlineStr">
        <is>
          <t>4 — Sources</t>
        </is>
      </c>
      <c r="C70" t="n">
        <v>54</v>
      </c>
      <c r="D70" t="inlineStr">
        <is>
          <t>Sources — Compare Multi-Select</t>
        </is>
      </c>
      <c r="E70" t="inlineStr">
        <is>
          <t>Configuration</t>
        </is>
      </c>
      <c r="F70" t="inlineStr">
        <is>
          <t>P2</t>
        </is>
      </c>
      <c r="G70" t="inlineStr">
        <is>
          <t>Compare mode: select **4** backtest sessions.</t>
        </is>
      </c>
      <c r="H70" t="inlineStr">
        <is>
          <t>4 sessions</t>
        </is>
      </c>
      <c r="I70" t="inlineStr">
        <is>
          <t>Compare chip lists 4 sources; metrics update.</t>
        </is>
      </c>
      <c r="J70" t="inlineStr">
        <is>
          <t>— Not tested</t>
        </is>
      </c>
      <c r="K70" t="inlineStr">
        <is>
          <t>— Not tested</t>
        </is>
      </c>
      <c r="L70" t="inlineStr">
        <is>
          <t>— Not tested</t>
        </is>
      </c>
    </row>
    <row r="71">
      <c r="A71" t="n">
        <v>537</v>
      </c>
      <c r="B71" t="inlineStr">
        <is>
          <t>4 — Sources</t>
        </is>
      </c>
      <c r="C71" t="n">
        <v>55</v>
      </c>
      <c r="D71" t="inlineStr">
        <is>
          <t>Sources — Cancel vs Go State Machine</t>
        </is>
      </c>
      <c r="E71" t="inlineStr">
        <is>
          <t>Logic</t>
        </is>
      </c>
      <c r="F71" t="inlineStr">
        <is>
          <t>P0</t>
        </is>
      </c>
      <c r="G71" t="inlineStr">
        <is>
          <t>Open library → select A → Cancel.</t>
        </is>
      </c>
      <c r="H71" t="inlineStr">
        <is>
          <t>—</t>
        </is>
      </c>
      <c r="I71" t="inlineStr">
        <is>
          <t>Still on previous source.</t>
        </is>
      </c>
      <c r="J71" t="inlineStr">
        <is>
          <t>— Not tested</t>
        </is>
      </c>
      <c r="K71" t="inlineStr">
        <is>
          <t>— Not tested</t>
        </is>
      </c>
      <c r="L71" t="inlineStr">
        <is>
          <t>— Not tested</t>
        </is>
      </c>
    </row>
    <row r="72">
      <c r="A72" t="n">
        <v>538</v>
      </c>
      <c r="B72" t="inlineStr">
        <is>
          <t>4 — Sources</t>
        </is>
      </c>
      <c r="C72" t="n">
        <v>55</v>
      </c>
      <c r="D72" t="inlineStr">
        <is>
          <t>Sources — Cancel vs Go State Machine</t>
        </is>
      </c>
      <c r="E72" t="inlineStr">
        <is>
          <t>Logic</t>
        </is>
      </c>
      <c r="F72" t="inlineStr">
        <is>
          <t>P0</t>
        </is>
      </c>
      <c r="G72" t="inlineStr">
        <is>
          <t>Open → select A → Go → reopen → select B → Cancel.</t>
        </is>
      </c>
      <c r="H72" t="inlineStr">
        <is>
          <t>—</t>
        </is>
      </c>
      <c r="I72" t="inlineStr">
        <is>
          <t>Still on A.</t>
        </is>
      </c>
      <c r="J72" t="inlineStr">
        <is>
          <t>— Not tested</t>
        </is>
      </c>
      <c r="K72" t="inlineStr">
        <is>
          <t>— Not tested</t>
        </is>
      </c>
      <c r="L72" t="inlineStr">
        <is>
          <t>— Not tested</t>
        </is>
      </c>
    </row>
    <row r="73">
      <c r="A73" t="n">
        <v>539</v>
      </c>
      <c r="B73" t="inlineStr">
        <is>
          <t>4 — Sources</t>
        </is>
      </c>
      <c r="C73" t="n">
        <v>55</v>
      </c>
      <c r="D73" t="inlineStr">
        <is>
          <t>Sources — Cancel vs Go State Machine</t>
        </is>
      </c>
      <c r="E73" t="inlineStr">
        <is>
          <t>Logic</t>
        </is>
      </c>
      <c r="F73" t="inlineStr">
        <is>
          <t>P0</t>
        </is>
      </c>
      <c r="G73" t="inlineStr">
        <is>
          <t>Open → select A → Go → reopen → select B → Go.</t>
        </is>
      </c>
      <c r="H73" t="inlineStr">
        <is>
          <t>—</t>
        </is>
      </c>
      <c r="I73" t="inlineStr">
        <is>
          <t>Now on B.</t>
        </is>
      </c>
      <c r="J73" t="inlineStr">
        <is>
          <t>— Not tested</t>
        </is>
      </c>
      <c r="K73" t="inlineStr">
        <is>
          <t>— Not tested</t>
        </is>
      </c>
      <c r="L73" t="inlineStr">
        <is>
          <t>— Not tested</t>
        </is>
      </c>
    </row>
    <row r="74">
      <c r="A74" t="n">
        <v>540</v>
      </c>
      <c r="B74" t="inlineStr">
        <is>
          <t>4 — Sources</t>
        </is>
      </c>
      <c r="C74" t="n">
        <v>55</v>
      </c>
      <c r="D74" t="inlineStr">
        <is>
          <t>Sources — Cancel vs Go State Machine</t>
        </is>
      </c>
      <c r="E74" t="inlineStr">
        <is>
          <t>Logic</t>
        </is>
      </c>
      <c r="F74" t="inlineStr">
        <is>
          <t>P1</t>
        </is>
      </c>
      <c r="G74" t="inlineStr">
        <is>
          <t>Partial strategy children → Cancel.</t>
        </is>
      </c>
      <c r="H74" t="inlineStr">
        <is>
          <t>—</t>
        </is>
      </c>
      <c r="I74" t="inlineStr">
        <is>
          <t>Previous child selection restored.</t>
        </is>
      </c>
      <c r="J74" t="inlineStr">
        <is>
          <t>— Not tested</t>
        </is>
      </c>
      <c r="K74" t="inlineStr">
        <is>
          <t>— Not tested</t>
        </is>
      </c>
      <c r="L74" t="inlineStr">
        <is>
          <t>— Not tested</t>
        </is>
      </c>
    </row>
    <row r="75">
      <c r="A75" t="n">
        <v>541</v>
      </c>
      <c r="B75" t="inlineStr">
        <is>
          <t>4 — Sources</t>
        </is>
      </c>
      <c r="C75" t="n">
        <v>55</v>
      </c>
      <c r="D75" t="inlineStr">
        <is>
          <t>Sources — Cancel vs Go State Machine</t>
        </is>
      </c>
      <c r="E75" t="inlineStr">
        <is>
          <t>Logic</t>
        </is>
      </c>
      <c r="F75" t="inlineStr">
        <is>
          <t>P1</t>
        </is>
      </c>
      <c r="G75" t="inlineStr">
        <is>
          <t>Partial strategy children → Go.</t>
        </is>
      </c>
      <c r="H75" t="inlineStr">
        <is>
          <t>—</t>
        </is>
      </c>
      <c r="I75" t="inlineStr">
        <is>
          <t>Dashboard scoped to partial set.</t>
        </is>
      </c>
      <c r="J75" t="inlineStr">
        <is>
          <t>— Not tested</t>
        </is>
      </c>
      <c r="K75" t="inlineStr">
        <is>
          <t>— Not tested</t>
        </is>
      </c>
      <c r="L75" t="inlineStr">
        <is>
          <t>— Not tested</t>
        </is>
      </c>
    </row>
  </sheetData>
  <dataValidations count="2">
    <dataValidation sqref="J2:K75" showDropDown="0" showInputMessage="0" showErrorMessage="0" allowBlank="1" type="list">
      <formula1>"☑ Pass,☐ Fail,⚠ Partial,— Not tested"</formula1>
    </dataValidation>
    <dataValidation sqref="L2:L75" showDropDown="0" showInputMessage="0" showErrorMessage="0" allowBlank="1" type="list">
      <formula1>"☑ Yes,☐ No,— Not tested"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2026-06-22T08:07:37Z</dcterms:created>
  <dcterms:modified xsi:type="dcterms:W3CDTF">2026-06-22T08:07:37Z</dcterms:modified>
</cp:coreProperties>
</file>