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QA Tracker" sheetId="2" state="visible" r:id="rId2"/>
    <sheet name="Summary" sheetId="3" state="visible" r:id="rId3"/>
    <sheet name="S1 Strategies" sheetId="4" state="visible" r:id="rId4"/>
    <sheet name="S2 Sessions" sheetId="5" state="visible" r:id="rId5"/>
    <sheet name="S3 Trades" sheetId="6" state="visible" r:id="rId6"/>
    <sheet name="S4 Sources" sheetId="7" state="visible" r:id="rId7"/>
  </sheets>
  <definedNames>
    <definedName name="_xlnm._FilterDatabase" localSheetId="1" hidden="1">'QA Tracker'!$A$1:$L$296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9"/>
      <sz val="14"/>
    </font>
    <font/>
    <font>
      <b val="1"/>
    </font>
    <font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4F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3E5F5"/>
      </patternFill>
    </fill>
    <fill>
      <patternFill patternType="solid">
        <fgColor rgb="002E5090"/>
      </patternFill>
    </fill>
    <fill>
      <patternFill patternType="solid">
        <fgColor rgb="002E7D32"/>
      </patternFill>
    </fill>
    <fill>
      <patternFill patternType="solid">
        <fgColor rgb="00E65100"/>
      </patternFill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s="1" t="inlineStr">
        <is>
          <t>TALARIA DASHBOARD — UAT TEST TRACKER</t>
        </is>
      </c>
    </row>
    <row r="2">
      <c r="A2" s="2" t="inlineStr"/>
      <c r="B2" s="3" t="inlineStr"/>
    </row>
    <row r="3">
      <c r="A3" s="4" t="inlineStr">
        <is>
          <t>Testers</t>
        </is>
      </c>
      <c r="B3" s="3" t="inlineStr">
        <is>
          <t>2 people — split by section or work in pairs per phase.</t>
        </is>
      </c>
    </row>
    <row r="4">
      <c r="A4" s="4" t="inlineStr">
        <is>
          <t>Entry URL</t>
        </is>
      </c>
      <c r="B4" s="3" t="inlineStr">
        <is>
          <t>https://your-domain/dashboard/ (log in first).</t>
        </is>
      </c>
    </row>
    <row r="5">
      <c r="A5" s="4" t="inlineStr">
        <is>
          <t>Order</t>
        </is>
      </c>
      <c r="B5" s="3" t="inlineStr">
        <is>
          <t>Complete sections in order: 1 Strategies → 2 Sessions → 3 Trades → 4 Sources.</t>
        </is>
      </c>
    </row>
    <row r="6">
      <c r="A6" s="4" t="inlineStr">
        <is>
          <t>Steps</t>
        </is>
      </c>
      <c r="B6" s="3" t="inlineStr">
        <is>
          <t>Follow numbered steps in QA Tracker. Do not skip validation steps in Section 3 Phase 28.</t>
        </is>
      </c>
    </row>
    <row r="7">
      <c r="A7" s="4" t="inlineStr">
        <is>
          <t>Result</t>
        </is>
      </c>
      <c r="B7" s="3" t="inlineStr">
        <is>
          <t>☑ Pass = works as expected | ☐ Fail = broken | ⚠ Partial = mostly works | — Not tested</t>
        </is>
      </c>
    </row>
    <row r="8">
      <c r="A8" s="4" t="inlineStr">
        <is>
          <t>Issues</t>
        </is>
      </c>
      <c r="B8" s="3" t="inlineStr">
        <is>
          <t>Mark Issue? = ☑ Yes for any bug; explain in Comments.</t>
        </is>
      </c>
    </row>
    <row r="9">
      <c r="A9" s="4" t="inlineStr">
        <is>
          <t>Priority</t>
        </is>
      </c>
      <c r="B9" s="3" t="inlineStr">
        <is>
          <t>P0 = launch blocker — stop and report immediately.</t>
        </is>
      </c>
    </row>
    <row r="10">
      <c r="A10" s="2" t="inlineStr"/>
      <c r="B10" s="3" t="inlineStr">
        <is>
          <t>SUGGESTED SPLIT FOR 2 TESTERS</t>
        </is>
      </c>
    </row>
    <row r="11">
      <c r="A11" s="4" t="inlineStr">
        <is>
          <t>Tester A</t>
        </is>
      </c>
      <c r="B11" s="3" t="inlineStr">
        <is>
          <t>Sections 1–2 (Strategies + Sessions) — Phases 1–20</t>
        </is>
      </c>
    </row>
    <row r="12">
      <c r="A12" s="4" t="inlineStr">
        <is>
          <t>Tester B</t>
        </is>
      </c>
      <c r="B12" s="3" t="inlineStr">
        <is>
          <t>Sections 3–4 (Trades + Sources) — Phases 21–35</t>
        </is>
      </c>
    </row>
    <row r="13">
      <c r="A13" s="4" t="inlineStr">
        <is>
          <t>Cross-check</t>
        </is>
      </c>
      <c r="B13" s="3" t="inlineStr">
        <is>
          <t>Swap: Tester A does Section 3, Tester B does Section 1 on day 2.</t>
        </is>
      </c>
    </row>
    <row r="14">
      <c r="A14" s="2" t="inlineStr"/>
      <c r="B14" s="3" t="inlineStr">
        <is>
          <t>SECTION OVERVIEW</t>
        </is>
      </c>
    </row>
    <row r="15">
      <c r="A15" s="4" t="inlineStr">
        <is>
          <t>1 — Strategies</t>
        </is>
      </c>
      <c r="B15" s="3" t="inlineStr">
        <is>
          <t>Phases 1–9: Strategy Bank page + 4-step Strategy Builder</t>
        </is>
      </c>
    </row>
    <row r="16">
      <c r="A16" s="4" t="inlineStr">
        <is>
          <t>2 — Sessions</t>
        </is>
      </c>
      <c r="B16" s="3" t="inlineStr">
        <is>
          <t>Phases 10–20: Sessions list + New Session modal (all fields)</t>
        </is>
      </c>
    </row>
    <row r="17">
      <c r="A17" s="4" t="inlineStr">
        <is>
          <t>3 — Trades</t>
        </is>
      </c>
      <c r="B17" s="3" t="inlineStr">
        <is>
          <t>Phases 21–28: Trades table + Add Trade editor + validation</t>
        </is>
      </c>
    </row>
    <row r="18">
      <c r="A18" s="4" t="inlineStr">
        <is>
          <t>4 — Sources</t>
        </is>
      </c>
      <c r="B18" s="3" t="inlineStr">
        <is>
          <t>Phases 29–35: Sources library + applied source + compare</t>
        </is>
      </c>
    </row>
    <row r="19">
      <c r="A19" s="2" t="inlineStr"/>
      <c r="B19" s="3" t="inlineStr">
        <is>
          <t>Total numbered steps: 295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" customWidth="1" min="3" max="3"/>
    <col width="28" customWidth="1" min="4" max="4"/>
    <col width="8" customWidth="1" min="5" max="5"/>
    <col width="52" customWidth="1" min="6" max="6"/>
    <col width="40" customWidth="1" min="7" max="7"/>
    <col width="14" customWidth="1" min="8" max="8"/>
    <col width="14" customWidth="1" min="9" max="9"/>
    <col width="10" customWidth="1" min="10" max="10"/>
    <col width="36" customWidth="1" min="11" max="11"/>
    <col width="12" customWidth="1" min="12" max="12"/>
  </cols>
  <sheetData>
    <row r="1">
      <c r="A1" s="5" t="inlineStr">
        <is>
          <t>Step #</t>
        </is>
      </c>
      <c r="B1" s="5" t="inlineStr">
        <is>
          <t>Section</t>
        </is>
      </c>
      <c r="C1" s="5" t="inlineStr">
        <is>
          <t>Phase</t>
        </is>
      </c>
      <c r="D1" s="5" t="inlineStr">
        <is>
          <t>Phase Name</t>
        </is>
      </c>
      <c r="E1" s="5" t="inlineStr">
        <is>
          <t>Priority</t>
        </is>
      </c>
      <c r="F1" s="5" t="inlineStr">
        <is>
          <t>What to Do</t>
        </is>
      </c>
      <c r="G1" s="5" t="inlineStr">
        <is>
          <t>Expected Result</t>
        </is>
      </c>
      <c r="H1" s="5" t="inlineStr">
        <is>
          <t>Tester A</t>
        </is>
      </c>
      <c r="I1" s="5" t="inlineStr">
        <is>
          <t>Tester B</t>
        </is>
      </c>
      <c r="J1" s="5" t="inlineStr">
        <is>
          <t>Issue?</t>
        </is>
      </c>
      <c r="K1" s="5" t="inlineStr">
        <is>
          <t>Comments</t>
        </is>
      </c>
      <c r="L1" s="5" t="inlineStr">
        <is>
          <t>Date</t>
        </is>
      </c>
    </row>
    <row r="2">
      <c r="A2" s="6" t="n">
        <v>1</v>
      </c>
      <c r="B2" s="6" t="inlineStr">
        <is>
          <t>1 — Strategies</t>
        </is>
      </c>
      <c r="C2" s="6" t="n">
        <v>1</v>
      </c>
      <c r="D2" s="6" t="inlineStr">
        <is>
          <t>Navigate to Strategy Bank</t>
        </is>
      </c>
      <c r="E2" s="3" t="inlineStr">
        <is>
          <t>P0</t>
        </is>
      </c>
      <c r="F2" s="3" t="inlineStr">
        <is>
          <t>Log in and open the dashboard at /dashboard/.</t>
        </is>
      </c>
      <c r="G2" s="3" t="inlineStr">
        <is>
          <t>Dashboard loads without errors.</t>
        </is>
      </c>
      <c r="H2" s="3" t="inlineStr">
        <is>
          <t>— Not tested</t>
        </is>
      </c>
      <c r="I2" s="3" t="inlineStr">
        <is>
          <t>— Not tested</t>
        </is>
      </c>
      <c r="J2" s="3" t="inlineStr">
        <is>
          <t>— Not tested</t>
        </is>
      </c>
    </row>
    <row r="3">
      <c r="A3" s="6" t="n">
        <v>2</v>
      </c>
      <c r="B3" s="6" t="inlineStr">
        <is>
          <t>1 — Strategies</t>
        </is>
      </c>
      <c r="C3" s="6" t="n">
        <v>1</v>
      </c>
      <c r="D3" s="6" t="inlineStr">
        <is>
          <t>Navigate to Strategy Bank</t>
        </is>
      </c>
      <c r="E3" s="3" t="inlineStr">
        <is>
          <t>P0</t>
        </is>
      </c>
      <c r="F3" s="3" t="inlineStr">
        <is>
          <t>Click **Strategies** in the left navigation panel.</t>
        </is>
      </c>
      <c r="G3" s="3" t="inlineStr">
        <is>
          <t>Strategy Bank page opens; title shows “Strategy Bank”.</t>
        </is>
      </c>
      <c r="H3" s="3" t="inlineStr">
        <is>
          <t>— Not tested</t>
        </is>
      </c>
      <c r="I3" s="3" t="inlineStr">
        <is>
          <t>— Not tested</t>
        </is>
      </c>
      <c r="J3" s="3" t="inlineStr">
        <is>
          <t>— Not tested</t>
        </is>
      </c>
    </row>
    <row r="4">
      <c r="A4" s="6" t="n">
        <v>3</v>
      </c>
      <c r="B4" s="6" t="inlineStr">
        <is>
          <t>1 — Strategies</t>
        </is>
      </c>
      <c r="C4" s="6" t="n">
        <v>1</v>
      </c>
      <c r="D4" s="6" t="inlineStr">
        <is>
          <t>Navigate to Strategy Bank</t>
        </is>
      </c>
      <c r="E4" s="3" t="inlineStr">
        <is>
          <t>P2</t>
        </is>
      </c>
      <c r="F4" s="3" t="inlineStr">
        <is>
          <t>Confirm URL contains view=stratbank (or /dashboard/strategies redirects).</t>
        </is>
      </c>
      <c r="G4" s="3" t="inlineStr">
        <is>
          <t>Correct strategies view is active.</t>
        </is>
      </c>
      <c r="H4" s="3" t="inlineStr">
        <is>
          <t>— Not tested</t>
        </is>
      </c>
      <c r="I4" s="3" t="inlineStr">
        <is>
          <t>— Not tested</t>
        </is>
      </c>
      <c r="J4" s="3" t="inlineStr">
        <is>
          <t>— Not tested</t>
        </is>
      </c>
    </row>
    <row r="5">
      <c r="A5" s="6" t="n">
        <v>4</v>
      </c>
      <c r="B5" s="6" t="inlineStr">
        <is>
          <t>1 — Strategies</t>
        </is>
      </c>
      <c r="C5" s="6" t="n">
        <v>1</v>
      </c>
      <c r="D5" s="6" t="inlineStr">
        <is>
          <t>Navigate to Strategy Bank</t>
        </is>
      </c>
      <c r="E5" s="3" t="inlineStr">
        <is>
          <t>P2</t>
        </is>
      </c>
      <c r="F5" s="3" t="inlineStr">
        <is>
          <t>Verify left nav highlights Strategies while on this page.</t>
        </is>
      </c>
      <c r="G5" s="3" t="inlineStr">
        <is>
          <t>Strategies nav item is visually active.</t>
        </is>
      </c>
      <c r="H5" s="3" t="inlineStr">
        <is>
          <t>— Not tested</t>
        </is>
      </c>
      <c r="I5" s="3" t="inlineStr">
        <is>
          <t>— Not tested</t>
        </is>
      </c>
      <c r="J5" s="3" t="inlineStr">
        <is>
          <t>— Not tested</t>
        </is>
      </c>
    </row>
    <row r="6">
      <c r="A6" s="6" t="n">
        <v>5</v>
      </c>
      <c r="B6" s="6" t="inlineStr">
        <is>
          <t>1 — Strategies</t>
        </is>
      </c>
      <c r="C6" s="6" t="n">
        <v>1</v>
      </c>
      <c r="D6" s="6" t="inlineStr">
        <is>
          <t>Navigate to Strategy Bank</t>
        </is>
      </c>
      <c r="E6" s="3" t="inlineStr">
        <is>
          <t>P1</t>
        </is>
      </c>
      <c r="F6" s="3" t="inlineStr">
        <is>
          <t>Click each other nav item (Dashboard, Trades, Backtest) then return to Strategies.</t>
        </is>
      </c>
      <c r="G6" s="3" t="inlineStr">
        <is>
          <t>Navigation works both ways.</t>
        </is>
      </c>
      <c r="H6" s="3" t="inlineStr">
        <is>
          <t>— Not tested</t>
        </is>
      </c>
      <c r="I6" s="3" t="inlineStr">
        <is>
          <t>— Not tested</t>
        </is>
      </c>
      <c r="J6" s="3" t="inlineStr">
        <is>
          <t>— Not tested</t>
        </is>
      </c>
    </row>
    <row r="7">
      <c r="A7" s="6" t="n">
        <v>6</v>
      </c>
      <c r="B7" s="6" t="inlineStr">
        <is>
          <t>1 — Strategies</t>
        </is>
      </c>
      <c r="C7" s="6" t="n">
        <v>2</v>
      </c>
      <c r="D7" s="6" t="inlineStr">
        <is>
          <t>Strategy Bank — Page Controls</t>
        </is>
      </c>
      <c r="E7" s="3" t="inlineStr">
        <is>
          <t>P0</t>
        </is>
      </c>
      <c r="F7" s="3" t="inlineStr">
        <is>
          <t>Locate the **Build Strategy** button in the page header.</t>
        </is>
      </c>
      <c r="G7" s="3" t="inlineStr">
        <is>
          <t>Button is visible and clickable.</t>
        </is>
      </c>
      <c r="H7" s="3" t="inlineStr">
        <is>
          <t>— Not tested</t>
        </is>
      </c>
      <c r="I7" s="3" t="inlineStr">
        <is>
          <t>— Not tested</t>
        </is>
      </c>
      <c r="J7" s="3" t="inlineStr">
        <is>
          <t>— Not tested</t>
        </is>
      </c>
    </row>
    <row r="8">
      <c r="A8" s="6" t="n">
        <v>7</v>
      </c>
      <c r="B8" s="6" t="inlineStr">
        <is>
          <t>1 — Strategies</t>
        </is>
      </c>
      <c r="C8" s="6" t="n">
        <v>2</v>
      </c>
      <c r="D8" s="6" t="inlineStr">
        <is>
          <t>Strategy Bank — Page Controls</t>
        </is>
      </c>
      <c r="E8" s="3" t="inlineStr">
        <is>
          <t>P1</t>
        </is>
      </c>
      <c r="F8" s="3" t="inlineStr">
        <is>
          <t>Confirm tabs: **My Strategies** (active) and **Community** (grayed/disabled).</t>
        </is>
      </c>
      <c r="G8" s="3" t="inlineStr">
        <is>
          <t>Community tab cannot be used or is clearly disabled.</t>
        </is>
      </c>
      <c r="H8" s="3" t="inlineStr">
        <is>
          <t>— Not tested</t>
        </is>
      </c>
      <c r="I8" s="3" t="inlineStr">
        <is>
          <t>— Not tested</t>
        </is>
      </c>
      <c r="J8" s="3" t="inlineStr">
        <is>
          <t>— Not tested</t>
        </is>
      </c>
    </row>
    <row r="9">
      <c r="A9" s="6" t="n">
        <v>8</v>
      </c>
      <c r="B9" s="6" t="inlineStr">
        <is>
          <t>1 — Strategies</t>
        </is>
      </c>
      <c r="C9" s="6" t="n">
        <v>2</v>
      </c>
      <c r="D9" s="6" t="inlineStr">
        <is>
          <t>Strategy Bank — Page Controls</t>
        </is>
      </c>
      <c r="E9" s="3" t="inlineStr">
        <is>
          <t>P2</t>
        </is>
      </c>
      <c r="F9" s="3" t="inlineStr">
        <is>
          <t>Try clicking the Community tab.</t>
        </is>
      </c>
      <c r="G9" s="3" t="inlineStr">
        <is>
          <t>Tab does not switch or shows disabled state.</t>
        </is>
      </c>
      <c r="H9" s="3" t="inlineStr">
        <is>
          <t>— Not tested</t>
        </is>
      </c>
      <c r="I9" s="3" t="inlineStr">
        <is>
          <t>— Not tested</t>
        </is>
      </c>
      <c r="J9" s="3" t="inlineStr">
        <is>
          <t>— Not tested</t>
        </is>
      </c>
    </row>
    <row r="10">
      <c r="A10" s="6" t="n">
        <v>9</v>
      </c>
      <c r="B10" s="6" t="inlineStr">
        <is>
          <t>1 — Strategies</t>
        </is>
      </c>
      <c r="C10" s="6" t="n">
        <v>2</v>
      </c>
      <c r="D10" s="6" t="inlineStr">
        <is>
          <t>Strategy Bank — Page Controls</t>
        </is>
      </c>
      <c r="E10" s="3" t="inlineStr">
        <is>
          <t>P1</t>
        </is>
      </c>
      <c r="F10" s="3" t="inlineStr">
        <is>
          <t>Toggle layout view: **Cards** vs **Rows**.</t>
        </is>
      </c>
      <c r="G10" s="3" t="inlineStr">
        <is>
          <t>Strategy list switches layout; all cards/rows still readable.</t>
        </is>
      </c>
      <c r="H10" s="3" t="inlineStr">
        <is>
          <t>— Not tested</t>
        </is>
      </c>
      <c r="I10" s="3" t="inlineStr">
        <is>
          <t>— Not tested</t>
        </is>
      </c>
      <c r="J10" s="3" t="inlineStr">
        <is>
          <t>— Not tested</t>
        </is>
      </c>
    </row>
    <row r="11">
      <c r="A11" s="6" t="n">
        <v>10</v>
      </c>
      <c r="B11" s="6" t="inlineStr">
        <is>
          <t>1 — Strategies</t>
        </is>
      </c>
      <c r="C11" s="6" t="n">
        <v>2</v>
      </c>
      <c r="D11" s="6" t="inlineStr">
        <is>
          <t>Strategy Bank — Page Controls</t>
        </is>
      </c>
      <c r="E11" s="3" t="inlineStr">
        <is>
          <t>P1</t>
        </is>
      </c>
      <c r="F11" s="3" t="inlineStr">
        <is>
          <t>Type in the **search** box (e.g. part of a strategy name).</t>
        </is>
      </c>
      <c r="G11" s="3" t="inlineStr">
        <is>
          <t>List filters to matching strategies only.</t>
        </is>
      </c>
      <c r="H11" s="3" t="inlineStr">
        <is>
          <t>— Not tested</t>
        </is>
      </c>
      <c r="I11" s="3" t="inlineStr">
        <is>
          <t>— Not tested</t>
        </is>
      </c>
      <c r="J11" s="3" t="inlineStr">
        <is>
          <t>— Not tested</t>
        </is>
      </c>
    </row>
    <row r="12">
      <c r="A12" s="6" t="n">
        <v>11</v>
      </c>
      <c r="B12" s="6" t="inlineStr">
        <is>
          <t>1 — Strategies</t>
        </is>
      </c>
      <c r="C12" s="6" t="n">
        <v>2</v>
      </c>
      <c r="D12" s="6" t="inlineStr">
        <is>
          <t>Strategy Bank — Page Controls</t>
        </is>
      </c>
      <c r="E12" s="3" t="inlineStr">
        <is>
          <t>P1</t>
        </is>
      </c>
      <c r="F12" s="3" t="inlineStr">
        <is>
          <t>Clear search using the × button or delete all text.</t>
        </is>
      </c>
      <c r="G12" s="3" t="inlineStr">
        <is>
          <t>Full list returns.</t>
        </is>
      </c>
      <c r="H12" s="3" t="inlineStr">
        <is>
          <t>— Not tested</t>
        </is>
      </c>
      <c r="I12" s="3" t="inlineStr">
        <is>
          <t>— Not tested</t>
        </is>
      </c>
      <c r="J12" s="3" t="inlineStr">
        <is>
          <t>— Not tested</t>
        </is>
      </c>
    </row>
    <row r="13">
      <c r="A13" s="6" t="n">
        <v>12</v>
      </c>
      <c r="B13" s="6" t="inlineStr">
        <is>
          <t>1 — Strategies</t>
        </is>
      </c>
      <c r="C13" s="6" t="n">
        <v>2</v>
      </c>
      <c r="D13" s="6" t="inlineStr">
        <is>
          <t>Strategy Bank — Page Controls</t>
        </is>
      </c>
      <c r="E13" s="3" t="inlineStr">
        <is>
          <t>P2</t>
        </is>
      </c>
      <c r="F13" s="3" t="inlineStr">
        <is>
          <t>With no strategies (or cleared search), check empty state message.</t>
        </is>
      </c>
      <c r="G13" s="3" t="inlineStr">
        <is>
          <t>Empty state shows with CTA to Build Strategy.</t>
        </is>
      </c>
      <c r="H13" s="3" t="inlineStr">
        <is>
          <t>— Not tested</t>
        </is>
      </c>
      <c r="I13" s="3" t="inlineStr">
        <is>
          <t>— Not tested</t>
        </is>
      </c>
      <c r="J13" s="3" t="inlineStr">
        <is>
          <t>— Not tested</t>
        </is>
      </c>
    </row>
    <row r="14">
      <c r="A14" s="6" t="n">
        <v>13</v>
      </c>
      <c r="B14" s="6" t="inlineStr">
        <is>
          <t>1 — Strategies</t>
        </is>
      </c>
      <c r="C14" s="6" t="n">
        <v>2</v>
      </c>
      <c r="D14" s="6" t="inlineStr">
        <is>
          <t>Strategy Bank — Page Controls</t>
        </is>
      </c>
      <c r="E14" s="3" t="inlineStr">
        <is>
          <t>P2</t>
        </is>
      </c>
      <c r="F14" s="3" t="inlineStr">
        <is>
          <t>Search for text that matches no strategy.</t>
        </is>
      </c>
      <c r="G14" s="3" t="inlineStr">
        <is>
          <t>“No results” or equivalent message appears.</t>
        </is>
      </c>
      <c r="H14" s="3" t="inlineStr">
        <is>
          <t>— Not tested</t>
        </is>
      </c>
      <c r="I14" s="3" t="inlineStr">
        <is>
          <t>— Not tested</t>
        </is>
      </c>
      <c r="J14" s="3" t="inlineStr">
        <is>
          <t>— Not tested</t>
        </is>
      </c>
    </row>
    <row r="15">
      <c r="A15" s="6" t="n">
        <v>14</v>
      </c>
      <c r="B15" s="6" t="inlineStr">
        <is>
          <t>1 — Strategies</t>
        </is>
      </c>
      <c r="C15" s="6" t="n">
        <v>3</v>
      </c>
      <c r="D15" s="6" t="inlineStr">
        <is>
          <t>Strategy Bank — Cards, Rows &amp; Actions</t>
        </is>
      </c>
      <c r="E15" s="3" t="inlineStr">
        <is>
          <t>P1</t>
        </is>
      </c>
      <c r="F15" s="3" t="inlineStr">
        <is>
          <t>In **Cards** view: verify each card shows name, description, markets, timeframes, tags.</t>
        </is>
      </c>
      <c r="G15" s="3" t="inlineStr">
        <is>
          <t>All fields render without truncation bugs.</t>
        </is>
      </c>
      <c r="H15" s="3" t="inlineStr">
        <is>
          <t>— Not tested</t>
        </is>
      </c>
      <c r="I15" s="3" t="inlineStr">
        <is>
          <t>— Not tested</t>
        </is>
      </c>
      <c r="J15" s="3" t="inlineStr">
        <is>
          <t>— Not tested</t>
        </is>
      </c>
    </row>
    <row r="16">
      <c r="A16" s="6" t="n">
        <v>15</v>
      </c>
      <c r="B16" s="6" t="inlineStr">
        <is>
          <t>1 — Strategies</t>
        </is>
      </c>
      <c r="C16" s="6" t="n">
        <v>3</v>
      </c>
      <c r="D16" s="6" t="inlineStr">
        <is>
          <t>Strategy Bank — Cards, Rows &amp; Actions</t>
        </is>
      </c>
      <c r="E16" s="3" t="inlineStr">
        <is>
          <t>P1</t>
        </is>
      </c>
      <c r="F16" s="3" t="inlineStr">
        <is>
          <t>Verify backtest stats on card: sessions count, P&amp;L, win rate (or — if none).</t>
        </is>
      </c>
      <c r="G16" s="3" t="inlineStr">
        <is>
          <t>Stats match linked sessions or show placeholders.</t>
        </is>
      </c>
      <c r="H16" s="3" t="inlineStr">
        <is>
          <t>— Not tested</t>
        </is>
      </c>
      <c r="I16" s="3" t="inlineStr">
        <is>
          <t>— Not tested</t>
        </is>
      </c>
      <c r="J16" s="3" t="inlineStr">
        <is>
          <t>— Not tested</t>
        </is>
      </c>
    </row>
    <row r="17">
      <c r="A17" s="6" t="n">
        <v>16</v>
      </c>
      <c r="B17" s="6" t="inlineStr">
        <is>
          <t>1 — Strategies</t>
        </is>
      </c>
      <c r="C17" s="6" t="n">
        <v>3</v>
      </c>
      <c r="D17" s="6" t="inlineStr">
        <is>
          <t>Strategy Bank — Cards, Rows &amp; Actions</t>
        </is>
      </c>
      <c r="E17" s="3" t="inlineStr">
        <is>
          <t>P2</t>
        </is>
      </c>
      <c r="F17" s="3" t="inlineStr">
        <is>
          <t>Hover a strategy card.</t>
        </is>
      </c>
      <c r="G17" s="3" t="inlineStr">
        <is>
          <t>Card highlights on hover.</t>
        </is>
      </c>
      <c r="H17" s="3" t="inlineStr">
        <is>
          <t>— Not tested</t>
        </is>
      </c>
      <c r="I17" s="3" t="inlineStr">
        <is>
          <t>— Not tested</t>
        </is>
      </c>
      <c r="J17" s="3" t="inlineStr">
        <is>
          <t>— Not tested</t>
        </is>
      </c>
    </row>
    <row r="18">
      <c r="A18" s="6" t="n">
        <v>17</v>
      </c>
      <c r="B18" s="6" t="inlineStr">
        <is>
          <t>1 — Strategies</t>
        </is>
      </c>
      <c r="C18" s="6" t="n">
        <v>3</v>
      </c>
      <c r="D18" s="6" t="inlineStr">
        <is>
          <t>Strategy Bank — Cards, Rows &amp; Actions</t>
        </is>
      </c>
      <c r="E18" s="3" t="inlineStr">
        <is>
          <t>P0</t>
        </is>
      </c>
      <c r="F18" s="3" t="inlineStr">
        <is>
          <t>**Double-click** your own strategy card.</t>
        </is>
      </c>
      <c r="G18" s="3" t="inlineStr">
        <is>
          <t>Strategy Builder opens in **Edit** mode with saved data.</t>
        </is>
      </c>
      <c r="H18" s="3" t="inlineStr">
        <is>
          <t>— Not tested</t>
        </is>
      </c>
      <c r="I18" s="3" t="inlineStr">
        <is>
          <t>— Not tested</t>
        </is>
      </c>
      <c r="J18" s="3" t="inlineStr">
        <is>
          <t>— Not tested</t>
        </is>
      </c>
    </row>
    <row r="19">
      <c r="A19" s="6" t="n">
        <v>18</v>
      </c>
      <c r="B19" s="6" t="inlineStr">
        <is>
          <t>1 — Strategies</t>
        </is>
      </c>
      <c r="C19" s="6" t="n">
        <v>3</v>
      </c>
      <c r="D19" s="6" t="inlineStr">
        <is>
          <t>Strategy Bank — Cards, Rows &amp; Actions</t>
        </is>
      </c>
      <c r="E19" s="3" t="inlineStr">
        <is>
          <t>P0</t>
        </is>
      </c>
      <c r="F19" s="3" t="inlineStr">
        <is>
          <t>Click the **⋯** menu on a strategy card.</t>
        </is>
      </c>
      <c r="G19" s="3" t="inlineStr">
        <is>
          <t>Menu opens: New Session, Dashboard, Edit, Copy, Delete (as applicable).</t>
        </is>
      </c>
      <c r="H19" s="3" t="inlineStr">
        <is>
          <t>— Not tested</t>
        </is>
      </c>
      <c r="I19" s="3" t="inlineStr">
        <is>
          <t>— Not tested</t>
        </is>
      </c>
      <c r="J19" s="3" t="inlineStr">
        <is>
          <t>— Not tested</t>
        </is>
      </c>
    </row>
    <row r="20">
      <c r="A20" s="6" t="n">
        <v>19</v>
      </c>
      <c r="B20" s="6" t="inlineStr">
        <is>
          <t>1 — Strategies</t>
        </is>
      </c>
      <c r="C20" s="6" t="n">
        <v>3</v>
      </c>
      <c r="D20" s="6" t="inlineStr">
        <is>
          <t>Strategy Bank — Cards, Rows &amp; Actions</t>
        </is>
      </c>
      <c r="E20" s="3" t="inlineStr">
        <is>
          <t>P0</t>
        </is>
      </c>
      <c r="F20" s="3" t="inlineStr">
        <is>
          <t>From ⋯ menu choose **New Session**.</t>
        </is>
      </c>
      <c r="G20" s="3" t="inlineStr">
        <is>
          <t>Add Session window opens with strategy name/description pre-filled.</t>
        </is>
      </c>
      <c r="H20" s="3" t="inlineStr">
        <is>
          <t>— Not tested</t>
        </is>
      </c>
      <c r="I20" s="3" t="inlineStr">
        <is>
          <t>— Not tested</t>
        </is>
      </c>
      <c r="J20" s="3" t="inlineStr">
        <is>
          <t>— Not tested</t>
        </is>
      </c>
    </row>
    <row r="21">
      <c r="A21" s="6" t="n">
        <v>20</v>
      </c>
      <c r="B21" s="6" t="inlineStr">
        <is>
          <t>1 — Strategies</t>
        </is>
      </c>
      <c r="C21" s="6" t="n">
        <v>3</v>
      </c>
      <c r="D21" s="6" t="inlineStr">
        <is>
          <t>Strategy Bank — Cards, Rows &amp; Actions</t>
        </is>
      </c>
      <c r="E21" s="3" t="inlineStr">
        <is>
          <t>P1</t>
        </is>
      </c>
      <c r="F21" s="3" t="inlineStr">
        <is>
          <t>From ⋯ menu choose **Dashboard**.</t>
        </is>
      </c>
      <c r="G21" s="3" t="inlineStr">
        <is>
          <t>Performance dashboard for that strategy opens.</t>
        </is>
      </c>
      <c r="H21" s="3" t="inlineStr">
        <is>
          <t>— Not tested</t>
        </is>
      </c>
      <c r="I21" s="3" t="inlineStr">
        <is>
          <t>— Not tested</t>
        </is>
      </c>
      <c r="J21" s="3" t="inlineStr">
        <is>
          <t>— Not tested</t>
        </is>
      </c>
    </row>
    <row r="22">
      <c r="A22" s="6" t="n">
        <v>21</v>
      </c>
      <c r="B22" s="6" t="inlineStr">
        <is>
          <t>1 — Strategies</t>
        </is>
      </c>
      <c r="C22" s="6" t="n">
        <v>3</v>
      </c>
      <c r="D22" s="6" t="inlineStr">
        <is>
          <t>Strategy Bank — Cards, Rows &amp; Actions</t>
        </is>
      </c>
      <c r="E22" s="3" t="inlineStr">
        <is>
          <t>P0</t>
        </is>
      </c>
      <c r="F22" s="3" t="inlineStr">
        <is>
          <t>From ⋯ menu choose **Edit**.</t>
        </is>
      </c>
      <c r="G22" s="3" t="inlineStr">
        <is>
          <t>Strategy Builder opens with existing data.</t>
        </is>
      </c>
      <c r="H22" s="3" t="inlineStr">
        <is>
          <t>— Not tested</t>
        </is>
      </c>
      <c r="I22" s="3" t="inlineStr">
        <is>
          <t>— Not tested</t>
        </is>
      </c>
      <c r="J22" s="3" t="inlineStr">
        <is>
          <t>— Not tested</t>
        </is>
      </c>
    </row>
    <row r="23">
      <c r="A23" s="6" t="n">
        <v>22</v>
      </c>
      <c r="B23" s="6" t="inlineStr">
        <is>
          <t>1 — Strategies</t>
        </is>
      </c>
      <c r="C23" s="6" t="n">
        <v>3</v>
      </c>
      <c r="D23" s="6" t="inlineStr">
        <is>
          <t>Strategy Bank — Cards, Rows &amp; Actions</t>
        </is>
      </c>
      <c r="E23" s="3" t="inlineStr">
        <is>
          <t>P1</t>
        </is>
      </c>
      <c r="F23" s="3" t="inlineStr">
        <is>
          <t>From ⋯ menu choose **Copy**.</t>
        </is>
      </c>
      <c r="G23" s="3" t="inlineStr">
        <is>
          <t>Duplicate appears in My Strategies as “(copy)” or “(copy N)”.</t>
        </is>
      </c>
      <c r="H23" s="3" t="inlineStr">
        <is>
          <t>— Not tested</t>
        </is>
      </c>
      <c r="I23" s="3" t="inlineStr">
        <is>
          <t>— Not tested</t>
        </is>
      </c>
      <c r="J23" s="3" t="inlineStr">
        <is>
          <t>— Not tested</t>
        </is>
      </c>
    </row>
    <row r="24">
      <c r="A24" s="6" t="n">
        <v>23</v>
      </c>
      <c r="B24" s="6" t="inlineStr">
        <is>
          <t>1 — Strategies</t>
        </is>
      </c>
      <c r="C24" s="6" t="n">
        <v>3</v>
      </c>
      <c r="D24" s="6" t="inlineStr">
        <is>
          <t>Strategy Bank — Cards, Rows &amp; Actions</t>
        </is>
      </c>
      <c r="E24" s="3" t="inlineStr">
        <is>
          <t>P1</t>
        </is>
      </c>
      <c r="F24" s="3" t="inlineStr">
        <is>
          <t>From ⋯ menu choose **Delete** → confirm.</t>
        </is>
      </c>
      <c r="G24" s="3" t="inlineStr">
        <is>
          <t>Strategy removed from list.</t>
        </is>
      </c>
      <c r="H24" s="3" t="inlineStr">
        <is>
          <t>— Not tested</t>
        </is>
      </c>
      <c r="I24" s="3" t="inlineStr">
        <is>
          <t>— Not tested</t>
        </is>
      </c>
      <c r="J24" s="3" t="inlineStr">
        <is>
          <t>— Not tested</t>
        </is>
      </c>
    </row>
    <row r="25">
      <c r="A25" s="6" t="n">
        <v>24</v>
      </c>
      <c r="B25" s="6" t="inlineStr">
        <is>
          <t>1 — Strategies</t>
        </is>
      </c>
      <c r="C25" s="6" t="n">
        <v>3</v>
      </c>
      <c r="D25" s="6" t="inlineStr">
        <is>
          <t>Strategy Bank — Cards, Rows &amp; Actions</t>
        </is>
      </c>
      <c r="E25" s="3" t="inlineStr">
        <is>
          <t>P1</t>
        </is>
      </c>
      <c r="F25" s="3" t="inlineStr">
        <is>
          <t>Switch to **Rows** view; repeat ⋯ menu on a row.</t>
        </is>
      </c>
      <c r="G25" s="3" t="inlineStr">
        <is>
          <t>Same actions work in row layout.</t>
        </is>
      </c>
      <c r="H25" s="3" t="inlineStr">
        <is>
          <t>— Not tested</t>
        </is>
      </c>
      <c r="I25" s="3" t="inlineStr">
        <is>
          <t>— Not tested</t>
        </is>
      </c>
      <c r="J25" s="3" t="inlineStr">
        <is>
          <t>— Not tested</t>
        </is>
      </c>
    </row>
    <row r="26">
      <c r="A26" s="6" t="n">
        <v>25</v>
      </c>
      <c r="B26" s="6" t="inlineStr">
        <is>
          <t>1 — Strategies</t>
        </is>
      </c>
      <c r="C26" s="6" t="n">
        <v>3</v>
      </c>
      <c r="D26" s="6" t="inlineStr">
        <is>
          <t>Strategy Bank — Cards, Rows &amp; Actions</t>
        </is>
      </c>
      <c r="E26" s="3" t="inlineStr">
        <is>
          <t>P2</t>
        </is>
      </c>
      <c r="F26" s="3" t="inlineStr">
        <is>
          <t>Double-click a **template preview** card (if shown).</t>
        </is>
      </c>
      <c r="G26" s="3" t="inlineStr">
        <is>
          <t>Opens builder from template with pre-filled flow.</t>
        </is>
      </c>
      <c r="H26" s="3" t="inlineStr">
        <is>
          <t>— Not tested</t>
        </is>
      </c>
      <c r="I26" s="3" t="inlineStr">
        <is>
          <t>— Not tested</t>
        </is>
      </c>
      <c r="J26" s="3" t="inlineStr">
        <is>
          <t>— Not tested</t>
        </is>
      </c>
    </row>
    <row r="27">
      <c r="A27" s="6" t="n">
        <v>26</v>
      </c>
      <c r="B27" s="6" t="inlineStr">
        <is>
          <t>1 — Strategies</t>
        </is>
      </c>
      <c r="C27" s="6" t="n">
        <v>4</v>
      </c>
      <c r="D27" s="6" t="inlineStr">
        <is>
          <t>Template Picker &amp; New Strategy</t>
        </is>
      </c>
      <c r="E27" s="3" t="inlineStr">
        <is>
          <t>P0</t>
        </is>
      </c>
      <c r="F27" s="3" t="inlineStr">
        <is>
          <t>Click **Build Strategy**.</t>
        </is>
      </c>
      <c r="G27" s="3" t="inlineStr">
        <is>
          <t>Template Picker opens (unless previously dismissed forever).</t>
        </is>
      </c>
      <c r="H27" s="3" t="inlineStr">
        <is>
          <t>— Not tested</t>
        </is>
      </c>
      <c r="I27" s="3" t="inlineStr">
        <is>
          <t>— Not tested</t>
        </is>
      </c>
      <c r="J27" s="3" t="inlineStr">
        <is>
          <t>— Not tested</t>
        </is>
      </c>
    </row>
    <row r="28">
      <c r="A28" s="6" t="n">
        <v>27</v>
      </c>
      <c r="B28" s="6" t="inlineStr">
        <is>
          <t>1 — Strategies</t>
        </is>
      </c>
      <c r="C28" s="6" t="n">
        <v>4</v>
      </c>
      <c r="D28" s="6" t="inlineStr">
        <is>
          <t>Template Picker &amp; New Strategy</t>
        </is>
      </c>
      <c r="E28" s="3" t="inlineStr">
        <is>
          <t>P1</t>
        </is>
      </c>
      <c r="F28" s="3" t="inlineStr">
        <is>
          <t>Browse template list; read template name and description.</t>
        </is>
      </c>
      <c r="G28" s="3" t="inlineStr">
        <is>
          <t>Templates display correctly.</t>
        </is>
      </c>
      <c r="H28" s="3" t="inlineStr">
        <is>
          <t>— Not tested</t>
        </is>
      </c>
      <c r="I28" s="3" t="inlineStr">
        <is>
          <t>— Not tested</t>
        </is>
      </c>
      <c r="J28" s="3" t="inlineStr">
        <is>
          <t>— Not tested</t>
        </is>
      </c>
    </row>
    <row r="29">
      <c r="A29" s="6" t="n">
        <v>28</v>
      </c>
      <c r="B29" s="6" t="inlineStr">
        <is>
          <t>1 — Strategies</t>
        </is>
      </c>
      <c r="C29" s="6" t="n">
        <v>4</v>
      </c>
      <c r="D29" s="6" t="inlineStr">
        <is>
          <t>Template Picker &amp; New Strategy</t>
        </is>
      </c>
      <c r="E29" s="3" t="inlineStr">
        <is>
          <t>P0</t>
        </is>
      </c>
      <c r="F29" s="3" t="inlineStr">
        <is>
          <t>Select a template → confirm/use.</t>
        </is>
      </c>
      <c r="G29" s="3" t="inlineStr">
        <is>
          <t>Strategy Builder opens at Step 1 with template data.</t>
        </is>
      </c>
      <c r="H29" s="3" t="inlineStr">
        <is>
          <t>— Not tested</t>
        </is>
      </c>
      <c r="I29" s="3" t="inlineStr">
        <is>
          <t>— Not tested</t>
        </is>
      </c>
      <c r="J29" s="3" t="inlineStr">
        <is>
          <t>— Not tested</t>
        </is>
      </c>
    </row>
    <row r="30">
      <c r="A30" s="6" t="n">
        <v>29</v>
      </c>
      <c r="B30" s="6" t="inlineStr">
        <is>
          <t>1 — Strategies</t>
        </is>
      </c>
      <c r="C30" s="6" t="n">
        <v>4</v>
      </c>
      <c r="D30" s="6" t="inlineStr">
        <is>
          <t>Template Picker &amp; New Strategy</t>
        </is>
      </c>
      <c r="E30" s="3" t="inlineStr">
        <is>
          <t>P1</t>
        </is>
      </c>
      <c r="F30" s="3" t="inlineStr">
        <is>
          <t>Close builder; click Build Strategy again → skip/cancel template picker.</t>
        </is>
      </c>
      <c r="G30" s="3" t="inlineStr">
        <is>
          <t>Blank builder opens OR picker dismiss option works.</t>
        </is>
      </c>
      <c r="H30" s="3" t="inlineStr">
        <is>
          <t>— Not tested</t>
        </is>
      </c>
      <c r="I30" s="3" t="inlineStr">
        <is>
          <t>— Not tested</t>
        </is>
      </c>
      <c r="J30" s="3" t="inlineStr">
        <is>
          <t>— Not tested</t>
        </is>
      </c>
    </row>
    <row r="31">
      <c r="A31" s="6" t="n">
        <v>30</v>
      </c>
      <c r="B31" s="6" t="inlineStr">
        <is>
          <t>1 — Strategies</t>
        </is>
      </c>
      <c r="C31" s="6" t="n">
        <v>4</v>
      </c>
      <c r="D31" s="6" t="inlineStr">
        <is>
          <t>Template Picker &amp; New Strategy</t>
        </is>
      </c>
      <c r="E31" s="3" t="inlineStr">
        <is>
          <t>P2</t>
        </is>
      </c>
      <c r="F31" s="3" t="inlineStr">
        <is>
          <t>If “don’t show again” exists, test it and rebuild.</t>
        </is>
      </c>
      <c r="G31" s="3" t="inlineStr">
        <is>
          <t>Picker behavior matches setting after reload.</t>
        </is>
      </c>
      <c r="H31" s="3" t="inlineStr">
        <is>
          <t>— Not tested</t>
        </is>
      </c>
      <c r="I31" s="3" t="inlineStr">
        <is>
          <t>— Not tested</t>
        </is>
      </c>
      <c r="J31" s="3" t="inlineStr">
        <is>
          <t>— Not tested</t>
        </is>
      </c>
    </row>
    <row r="32">
      <c r="A32" s="6" t="n">
        <v>31</v>
      </c>
      <c r="B32" s="6" t="inlineStr">
        <is>
          <t>1 — Strategies</t>
        </is>
      </c>
      <c r="C32" s="6" t="n">
        <v>5</v>
      </c>
      <c r="D32" s="6" t="inlineStr">
        <is>
          <t>Strategy Builder — Shell &amp; Navigation</t>
        </is>
      </c>
      <c r="E32" s="3" t="inlineStr">
        <is>
          <t>P0</t>
        </is>
      </c>
      <c r="F32" s="3" t="inlineStr">
        <is>
          <t>Open Strategy Builder (new or edit).</t>
        </is>
      </c>
      <c r="G32" s="3" t="inlineStr">
        <is>
          <t>Modal opens full-screen style; backdrop visible.</t>
        </is>
      </c>
      <c r="H32" s="3" t="inlineStr">
        <is>
          <t>— Not tested</t>
        </is>
      </c>
      <c r="I32" s="3" t="inlineStr">
        <is>
          <t>— Not tested</t>
        </is>
      </c>
      <c r="J32" s="3" t="inlineStr">
        <is>
          <t>— Not tested</t>
        </is>
      </c>
    </row>
    <row r="33">
      <c r="A33" s="6" t="n">
        <v>32</v>
      </c>
      <c r="B33" s="6" t="inlineStr">
        <is>
          <t>1 — Strategies</t>
        </is>
      </c>
      <c r="C33" s="6" t="n">
        <v>5</v>
      </c>
      <c r="D33" s="6" t="inlineStr">
        <is>
          <t>Strategy Builder — Shell &amp; Navigation</t>
        </is>
      </c>
      <c r="E33" s="3" t="inlineStr">
        <is>
          <t>P0</t>
        </is>
      </c>
      <c r="F33" s="3" t="inlineStr">
        <is>
          <t>Verify wizard header shows 4 steps: General Info, Strategy Flow, Trade Tags, Review.</t>
        </is>
      </c>
      <c r="G33" s="3" t="inlineStr">
        <is>
          <t>All four step labels visible.</t>
        </is>
      </c>
      <c r="H33" s="3" t="inlineStr">
        <is>
          <t>— Not tested</t>
        </is>
      </c>
      <c r="I33" s="3" t="inlineStr">
        <is>
          <t>— Not tested</t>
        </is>
      </c>
      <c r="J33" s="3" t="inlineStr">
        <is>
          <t>— Not tested</t>
        </is>
      </c>
    </row>
    <row r="34">
      <c r="A34" s="6" t="n">
        <v>33</v>
      </c>
      <c r="B34" s="6" t="inlineStr">
        <is>
          <t>1 — Strategies</t>
        </is>
      </c>
      <c r="C34" s="6" t="n">
        <v>5</v>
      </c>
      <c r="D34" s="6" t="inlineStr">
        <is>
          <t>Strategy Builder — Shell &amp; Navigation</t>
        </is>
      </c>
      <c r="E34" s="3" t="inlineStr">
        <is>
          <t>P1</t>
        </is>
      </c>
      <c r="F34" s="3" t="inlineStr">
        <is>
          <t>Click **×** close button.</t>
        </is>
      </c>
      <c r="G34" s="3" t="inlineStr">
        <is>
          <t>Modal closes; no data loss prompt if nothing changed (note behavior).</t>
        </is>
      </c>
      <c r="H34" s="3" t="inlineStr">
        <is>
          <t>— Not tested</t>
        </is>
      </c>
      <c r="I34" s="3" t="inlineStr">
        <is>
          <t>— Not tested</t>
        </is>
      </c>
      <c r="J34" s="3" t="inlineStr">
        <is>
          <t>— Not tested</t>
        </is>
      </c>
    </row>
    <row r="35">
      <c r="A35" s="6" t="n">
        <v>34</v>
      </c>
      <c r="B35" s="6" t="inlineStr">
        <is>
          <t>1 — Strategies</t>
        </is>
      </c>
      <c r="C35" s="6" t="n">
        <v>5</v>
      </c>
      <c r="D35" s="6" t="inlineStr">
        <is>
          <t>Strategy Builder — Shell &amp; Navigation</t>
        </is>
      </c>
      <c r="E35" s="3" t="inlineStr">
        <is>
          <t>P2</t>
        </is>
      </c>
      <c r="F35" s="3" t="inlineStr">
        <is>
          <t>Click backdrop outside modal.</t>
        </is>
      </c>
      <c r="G35" s="3" t="inlineStr">
        <is>
          <t>Modal should NOT close (by design) — only × closes.</t>
        </is>
      </c>
      <c r="H35" s="3" t="inlineStr">
        <is>
          <t>— Not tested</t>
        </is>
      </c>
      <c r="I35" s="3" t="inlineStr">
        <is>
          <t>— Not tested</t>
        </is>
      </c>
      <c r="J35" s="3" t="inlineStr">
        <is>
          <t>— Not tested</t>
        </is>
      </c>
    </row>
    <row r="36">
      <c r="A36" s="6" t="n">
        <v>35</v>
      </c>
      <c r="B36" s="6" t="inlineStr">
        <is>
          <t>1 — Strategies</t>
        </is>
      </c>
      <c r="C36" s="6" t="n">
        <v>5</v>
      </c>
      <c r="D36" s="6" t="inlineStr">
        <is>
          <t>Strategy Builder — Shell &amp; Navigation</t>
        </is>
      </c>
      <c r="E36" s="3" t="inlineStr">
        <is>
          <t>P1</t>
        </is>
      </c>
      <c r="F36" s="3" t="inlineStr">
        <is>
          <t>Click **TEMPLATES** button in header.</t>
        </is>
      </c>
      <c r="G36" s="3" t="inlineStr">
        <is>
          <t>Template picker re-opens.</t>
        </is>
      </c>
      <c r="H36" s="3" t="inlineStr">
        <is>
          <t>— Not tested</t>
        </is>
      </c>
      <c r="I36" s="3" t="inlineStr">
        <is>
          <t>— Not tested</t>
        </is>
      </c>
      <c r="J36" s="3" t="inlineStr">
        <is>
          <t>— Not tested</t>
        </is>
      </c>
    </row>
    <row r="37">
      <c r="A37" s="6" t="n">
        <v>36</v>
      </c>
      <c r="B37" s="6" t="inlineStr">
        <is>
          <t>1 — Strategies</t>
        </is>
      </c>
      <c r="C37" s="6" t="n">
        <v>5</v>
      </c>
      <c r="D37" s="6" t="inlineStr">
        <is>
          <t>Strategy Builder — Shell &amp; Navigation</t>
        </is>
      </c>
      <c r="E37" s="3" t="inlineStr">
        <is>
          <t>P0</t>
        </is>
      </c>
      <c r="F37" s="3" t="inlineStr">
        <is>
          <t>On Step 1, click Step 3 tab directly.</t>
        </is>
      </c>
      <c r="G37" s="3" t="inlineStr">
        <is>
          <t>Should block or force back to Step 1 if required fields empty.</t>
        </is>
      </c>
      <c r="H37" s="3" t="inlineStr">
        <is>
          <t>— Not tested</t>
        </is>
      </c>
      <c r="I37" s="3" t="inlineStr">
        <is>
          <t>— Not tested</t>
        </is>
      </c>
      <c r="J37" s="3" t="inlineStr">
        <is>
          <t>— Not tested</t>
        </is>
      </c>
    </row>
    <row r="38">
      <c r="A38" s="6" t="n">
        <v>37</v>
      </c>
      <c r="B38" s="6" t="inlineStr">
        <is>
          <t>1 — Strategies</t>
        </is>
      </c>
      <c r="C38" s="6" t="n">
        <v>5</v>
      </c>
      <c r="D38" s="6" t="inlineStr">
        <is>
          <t>Strategy Builder — Shell &amp; Navigation</t>
        </is>
      </c>
      <c r="E38" s="3" t="inlineStr">
        <is>
          <t>P1</t>
        </is>
      </c>
      <c r="F38" s="3" t="inlineStr">
        <is>
          <t>Fill required Step 1 fields, then click Step 4.</t>
        </is>
      </c>
      <c r="G38" s="3" t="inlineStr">
        <is>
          <t>Can jump ahead when Step 1 complete.</t>
        </is>
      </c>
      <c r="H38" s="3" t="inlineStr">
        <is>
          <t>— Not tested</t>
        </is>
      </c>
      <c r="I38" s="3" t="inlineStr">
        <is>
          <t>— Not tested</t>
        </is>
      </c>
      <c r="J38" s="3" t="inlineStr">
        <is>
          <t>— Not tested</t>
        </is>
      </c>
    </row>
    <row r="39">
      <c r="A39" s="6" t="n">
        <v>38</v>
      </c>
      <c r="B39" s="6" t="inlineStr">
        <is>
          <t>1 — Strategies</t>
        </is>
      </c>
      <c r="C39" s="6" t="n">
        <v>5</v>
      </c>
      <c r="D39" s="6" t="inlineStr">
        <is>
          <t>Strategy Builder — Shell &amp; Navigation</t>
        </is>
      </c>
      <c r="E39" s="3" t="inlineStr">
        <is>
          <t>P1</t>
        </is>
      </c>
      <c r="F39" s="3" t="inlineStr">
        <is>
          <t>Click **Back** on Step 2.</t>
        </is>
      </c>
      <c r="G39" s="3" t="inlineStr">
        <is>
          <t>Returns to Step 1 with data preserved.</t>
        </is>
      </c>
      <c r="H39" s="3" t="inlineStr">
        <is>
          <t>— Not tested</t>
        </is>
      </c>
      <c r="I39" s="3" t="inlineStr">
        <is>
          <t>— Not tested</t>
        </is>
      </c>
      <c r="J39" s="3" t="inlineStr">
        <is>
          <t>— Not tested</t>
        </is>
      </c>
    </row>
    <row r="40">
      <c r="A40" s="6" t="n">
        <v>39</v>
      </c>
      <c r="B40" s="6" t="inlineStr">
        <is>
          <t>1 — Strategies</t>
        </is>
      </c>
      <c r="C40" s="6" t="n">
        <v>5</v>
      </c>
      <c r="D40" s="6" t="inlineStr">
        <is>
          <t>Strategy Builder — Shell &amp; Navigation</t>
        </is>
      </c>
      <c r="E40" s="3" t="inlineStr">
        <is>
          <t>P0</t>
        </is>
      </c>
      <c r="F40" s="3" t="inlineStr">
        <is>
          <t>Click **Next** through all steps.</t>
        </is>
      </c>
      <c r="G40" s="3" t="inlineStr">
        <is>
          <t>Steps advance 1→2→3→4.</t>
        </is>
      </c>
      <c r="H40" s="3" t="inlineStr">
        <is>
          <t>— Not tested</t>
        </is>
      </c>
      <c r="I40" s="3" t="inlineStr">
        <is>
          <t>— Not tested</t>
        </is>
      </c>
      <c r="J40" s="3" t="inlineStr">
        <is>
          <t>— Not tested</t>
        </is>
      </c>
    </row>
    <row r="41">
      <c r="A41" s="6" t="n">
        <v>40</v>
      </c>
      <c r="B41" s="6" t="inlineStr">
        <is>
          <t>1 — Strategies</t>
        </is>
      </c>
      <c r="C41" s="6" t="n">
        <v>6</v>
      </c>
      <c r="D41" s="6" t="inlineStr">
        <is>
          <t>Builder Step 1 — General Info (every field)</t>
        </is>
      </c>
      <c r="E41" s="3" t="inlineStr">
        <is>
          <t>P0</t>
        </is>
      </c>
      <c r="F41" s="3" t="inlineStr">
        <is>
          <t>**Strategy name** — leave empty, click Next.</t>
        </is>
      </c>
      <c r="G41" s="3" t="inlineStr">
        <is>
          <t>Red hint appears; cannot proceed; lists missing: name, markets, timeframes.</t>
        </is>
      </c>
      <c r="H41" s="3" t="inlineStr">
        <is>
          <t>— Not tested</t>
        </is>
      </c>
      <c r="I41" s="3" t="inlineStr">
        <is>
          <t>— Not tested</t>
        </is>
      </c>
      <c r="J41" s="3" t="inlineStr">
        <is>
          <t>— Not tested</t>
        </is>
      </c>
    </row>
    <row r="42">
      <c r="A42" s="6" t="n">
        <v>41</v>
      </c>
      <c r="B42" s="6" t="inlineStr">
        <is>
          <t>1 — Strategies</t>
        </is>
      </c>
      <c r="C42" s="6" t="n">
        <v>6</v>
      </c>
      <c r="D42" s="6" t="inlineStr">
        <is>
          <t>Builder Step 1 — General Info (every field)</t>
        </is>
      </c>
      <c r="E42" s="3" t="inlineStr">
        <is>
          <t>P0</t>
        </is>
      </c>
      <c r="F42" s="3" t="inlineStr">
        <is>
          <t>Enter strategy name (max 80 chars).</t>
        </is>
      </c>
      <c r="G42" s="3" t="inlineStr">
        <is>
          <t>Name accepts input; character limit enforced if exceeded.</t>
        </is>
      </c>
      <c r="H42" s="3" t="inlineStr">
        <is>
          <t>— Not tested</t>
        </is>
      </c>
      <c r="I42" s="3" t="inlineStr">
        <is>
          <t>— Not tested</t>
        </is>
      </c>
      <c r="J42" s="3" t="inlineStr">
        <is>
          <t>— Not tested</t>
        </is>
      </c>
    </row>
    <row r="43">
      <c r="A43" s="6" t="n">
        <v>42</v>
      </c>
      <c r="B43" s="6" t="inlineStr">
        <is>
          <t>1 — Strategies</t>
        </is>
      </c>
      <c r="C43" s="6" t="n">
        <v>6</v>
      </c>
      <c r="D43" s="6" t="inlineStr">
        <is>
          <t>Builder Step 1 — General Info (every field)</t>
        </is>
      </c>
      <c r="E43" s="3" t="inlineStr">
        <is>
          <t>P2</t>
        </is>
      </c>
      <c r="F43" s="3" t="inlineStr">
        <is>
          <t>**Emoji / icon picker** — select an emoji.</t>
        </is>
      </c>
      <c r="G43" s="3" t="inlineStr">
        <is>
          <t>Icon updates on card preview areas.</t>
        </is>
      </c>
      <c r="H43" s="3" t="inlineStr">
        <is>
          <t>— Not tested</t>
        </is>
      </c>
      <c r="I43" s="3" t="inlineStr">
        <is>
          <t>— Not tested</t>
        </is>
      </c>
      <c r="J43" s="3" t="inlineStr">
        <is>
          <t>— Not tested</t>
        </is>
      </c>
    </row>
    <row r="44">
      <c r="A44" s="6" t="n">
        <v>43</v>
      </c>
      <c r="B44" s="6" t="inlineStr">
        <is>
          <t>1 — Strategies</t>
        </is>
      </c>
      <c r="C44" s="6" t="n">
        <v>6</v>
      </c>
      <c r="D44" s="6" t="inlineStr">
        <is>
          <t>Builder Step 1 — General Info (every field)</t>
        </is>
      </c>
      <c r="E44" s="3" t="inlineStr">
        <is>
          <t>P1</t>
        </is>
      </c>
      <c r="F44" s="3" t="inlineStr">
        <is>
          <t>**Description** — type text; check character counter (500 max).</t>
        </is>
      </c>
      <c r="G44" s="3" t="inlineStr">
        <is>
          <t>Counter updates; long text truncates or blocks at limit.</t>
        </is>
      </c>
      <c r="H44" s="3" t="inlineStr">
        <is>
          <t>— Not tested</t>
        </is>
      </c>
      <c r="I44" s="3" t="inlineStr">
        <is>
          <t>— Not tested</t>
        </is>
      </c>
      <c r="J44" s="3" t="inlineStr">
        <is>
          <t>— Not tested</t>
        </is>
      </c>
    </row>
    <row r="45">
      <c r="A45" s="6" t="n">
        <v>44</v>
      </c>
      <c r="B45" s="6" t="inlineStr">
        <is>
          <t>1 — Strategies</t>
        </is>
      </c>
      <c r="C45" s="6" t="n">
        <v>6</v>
      </c>
      <c r="D45" s="6" t="inlineStr">
        <is>
          <t>Builder Step 1 — General Info (every field)</t>
        </is>
      </c>
      <c r="E45" s="3" t="inlineStr">
        <is>
          <t>P1</t>
        </is>
      </c>
      <c r="F45" s="3" t="inlineStr">
        <is>
          <t>**Tags** — select from dropdown presets.</t>
        </is>
      </c>
      <c r="G45" s="3" t="inlineStr">
        <is>
          <t>Tags appear as chips/pills.</t>
        </is>
      </c>
      <c r="H45" s="3" t="inlineStr">
        <is>
          <t>— Not tested</t>
        </is>
      </c>
      <c r="I45" s="3" t="inlineStr">
        <is>
          <t>— Not tested</t>
        </is>
      </c>
      <c r="J45" s="3" t="inlineStr">
        <is>
          <t>— Not tested</t>
        </is>
      </c>
    </row>
    <row r="46">
      <c r="A46" s="6" t="n">
        <v>45</v>
      </c>
      <c r="B46" s="6" t="inlineStr">
        <is>
          <t>1 — Strategies</t>
        </is>
      </c>
      <c r="C46" s="6" t="n">
        <v>6</v>
      </c>
      <c r="D46" s="6" t="inlineStr">
        <is>
          <t>Builder Step 1 — General Info (every field)</t>
        </is>
      </c>
      <c r="E46" s="3" t="inlineStr">
        <is>
          <t>P1</t>
        </is>
      </c>
      <c r="F46" s="3" t="inlineStr">
        <is>
          <t>**Tags** — add a custom tag.</t>
        </is>
      </c>
      <c r="G46" s="3" t="inlineStr">
        <is>
          <t>Custom tag added to list.</t>
        </is>
      </c>
      <c r="H46" s="3" t="inlineStr">
        <is>
          <t>— Not tested</t>
        </is>
      </c>
      <c r="I46" s="3" t="inlineStr">
        <is>
          <t>— Not tested</t>
        </is>
      </c>
      <c r="J46" s="3" t="inlineStr">
        <is>
          <t>— Not tested</t>
        </is>
      </c>
    </row>
    <row r="47">
      <c r="A47" s="6" t="n">
        <v>46</v>
      </c>
      <c r="B47" s="6" t="inlineStr">
        <is>
          <t>1 — Strategies</t>
        </is>
      </c>
      <c r="C47" s="6" t="n">
        <v>6</v>
      </c>
      <c r="D47" s="6" t="inlineStr">
        <is>
          <t>Builder Step 1 — General Info (every field)</t>
        </is>
      </c>
      <c r="E47" s="3" t="inlineStr">
        <is>
          <t>P0</t>
        </is>
      </c>
      <c r="F47" s="3" t="inlineStr">
        <is>
          <t>**Markets** — select at least one market category (required).</t>
        </is>
      </c>
      <c r="G47" s="3" t="inlineStr">
        <is>
          <t>Selected markets show as active; required for Next.</t>
        </is>
      </c>
      <c r="H47" s="3" t="inlineStr">
        <is>
          <t>— Not tested</t>
        </is>
      </c>
      <c r="I47" s="3" t="inlineStr">
        <is>
          <t>— Not tested</t>
        </is>
      </c>
      <c r="J47" s="3" t="inlineStr">
        <is>
          <t>— Not tested</t>
        </is>
      </c>
    </row>
    <row r="48">
      <c r="A48" s="6" t="n">
        <v>47</v>
      </c>
      <c r="B48" s="6" t="inlineStr">
        <is>
          <t>1 — Strategies</t>
        </is>
      </c>
      <c r="C48" s="6" t="n">
        <v>6</v>
      </c>
      <c r="D48" s="6" t="inlineStr">
        <is>
          <t>Builder Step 1 — General Info (every field)</t>
        </is>
      </c>
      <c r="E48" s="3" t="inlineStr">
        <is>
          <t>P0</t>
        </is>
      </c>
      <c r="F48" s="3" t="inlineStr">
        <is>
          <t>Deselect all markets.</t>
        </is>
      </c>
      <c r="G48" s="3" t="inlineStr">
        <is>
          <t>Next blocked with “markets” in missing list.</t>
        </is>
      </c>
      <c r="H48" s="3" t="inlineStr">
        <is>
          <t>— Not tested</t>
        </is>
      </c>
      <c r="I48" s="3" t="inlineStr">
        <is>
          <t>— Not tested</t>
        </is>
      </c>
      <c r="J48" s="3" t="inlineStr">
        <is>
          <t>— Not tested</t>
        </is>
      </c>
    </row>
    <row r="49">
      <c r="A49" s="6" t="n">
        <v>48</v>
      </c>
      <c r="B49" s="6" t="inlineStr">
        <is>
          <t>1 — Strategies</t>
        </is>
      </c>
      <c r="C49" s="6" t="n">
        <v>6</v>
      </c>
      <c r="D49" s="6" t="inlineStr">
        <is>
          <t>Builder Step 1 — General Info (every field)</t>
        </is>
      </c>
      <c r="E49" s="3" t="inlineStr">
        <is>
          <t>P1</t>
        </is>
      </c>
      <c r="F49" s="3" t="inlineStr">
        <is>
          <t>**Instruments** — pick specific symbols if field exists.</t>
        </is>
      </c>
      <c r="G49" s="3" t="inlineStr">
        <is>
          <t>Instruments save with strategy.</t>
        </is>
      </c>
      <c r="H49" s="3" t="inlineStr">
        <is>
          <t>— Not tested</t>
        </is>
      </c>
      <c r="I49" s="3" t="inlineStr">
        <is>
          <t>— Not tested</t>
        </is>
      </c>
      <c r="J49" s="3" t="inlineStr">
        <is>
          <t>— Not tested</t>
        </is>
      </c>
    </row>
    <row r="50">
      <c r="A50" s="6" t="n">
        <v>49</v>
      </c>
      <c r="B50" s="6" t="inlineStr">
        <is>
          <t>1 — Strategies</t>
        </is>
      </c>
      <c r="C50" s="6" t="n">
        <v>6</v>
      </c>
      <c r="D50" s="6" t="inlineStr">
        <is>
          <t>Builder Step 1 — General Info (every field)</t>
        </is>
      </c>
      <c r="E50" s="3" t="inlineStr">
        <is>
          <t>P2</t>
        </is>
      </c>
      <c r="F50" s="3" t="inlineStr">
        <is>
          <t>**Supporting instruments** — add secondary symbols.</t>
        </is>
      </c>
      <c r="G50" s="3" t="inlineStr">
        <is>
          <t>Supporting list populates.</t>
        </is>
      </c>
      <c r="H50" s="3" t="inlineStr">
        <is>
          <t>— Not tested</t>
        </is>
      </c>
      <c r="I50" s="3" t="inlineStr">
        <is>
          <t>— Not tested</t>
        </is>
      </c>
      <c r="J50" s="3" t="inlineStr">
        <is>
          <t>— Not tested</t>
        </is>
      </c>
    </row>
    <row r="51">
      <c r="A51" s="6" t="n">
        <v>50</v>
      </c>
      <c r="B51" s="6" t="inlineStr">
        <is>
          <t>1 — Strategies</t>
        </is>
      </c>
      <c r="C51" s="6" t="n">
        <v>6</v>
      </c>
      <c r="D51" s="6" t="inlineStr">
        <is>
          <t>Builder Step 1 — General Info (every field)</t>
        </is>
      </c>
      <c r="E51" s="3" t="inlineStr">
        <is>
          <t>P0</t>
        </is>
      </c>
      <c r="F51" s="3" t="inlineStr">
        <is>
          <t>**Timeframes** — select at least one (required).</t>
        </is>
      </c>
      <c r="G51" s="3" t="inlineStr">
        <is>
          <t>TF chips active; required for Next.</t>
        </is>
      </c>
      <c r="H51" s="3" t="inlineStr">
        <is>
          <t>— Not tested</t>
        </is>
      </c>
      <c r="I51" s="3" t="inlineStr">
        <is>
          <t>— Not tested</t>
        </is>
      </c>
      <c r="J51" s="3" t="inlineStr">
        <is>
          <t>— Not tested</t>
        </is>
      </c>
    </row>
    <row r="52">
      <c r="A52" s="6" t="n">
        <v>51</v>
      </c>
      <c r="B52" s="6" t="inlineStr">
        <is>
          <t>1 — Strategies</t>
        </is>
      </c>
      <c r="C52" s="6" t="n">
        <v>6</v>
      </c>
      <c r="D52" s="6" t="inlineStr">
        <is>
          <t>Builder Step 1 — General Info (every field)</t>
        </is>
      </c>
      <c r="E52" s="3" t="inlineStr">
        <is>
          <t>P2</t>
        </is>
      </c>
      <c r="F52" s="3" t="inlineStr">
        <is>
          <t>Add a **custom timeframe** if option exists.</t>
        </is>
      </c>
      <c r="G52" s="3" t="inlineStr">
        <is>
          <t>Custom TF appears in selection.</t>
        </is>
      </c>
      <c r="H52" s="3" t="inlineStr">
        <is>
          <t>— Not tested</t>
        </is>
      </c>
      <c r="I52" s="3" t="inlineStr">
        <is>
          <t>— Not tested</t>
        </is>
      </c>
      <c r="J52" s="3" t="inlineStr">
        <is>
          <t>— Not tested</t>
        </is>
      </c>
    </row>
    <row r="53">
      <c r="A53" s="6" t="n">
        <v>52</v>
      </c>
      <c r="B53" s="6" t="inlineStr">
        <is>
          <t>1 — Strategies</t>
        </is>
      </c>
      <c r="C53" s="6" t="n">
        <v>6</v>
      </c>
      <c r="D53" s="6" t="inlineStr">
        <is>
          <t>Builder Step 1 — General Info (every field)</t>
        </is>
      </c>
      <c r="E53" s="3" t="inlineStr">
        <is>
          <t>P2</t>
        </is>
      </c>
      <c r="F53" s="3" t="inlineStr">
        <is>
          <t>**Strategy image** — upload an image file.</t>
        </is>
      </c>
      <c r="G53" s="3" t="inlineStr">
        <is>
          <t>Image preview shows; save includes image.</t>
        </is>
      </c>
      <c r="H53" s="3" t="inlineStr">
        <is>
          <t>— Not tested</t>
        </is>
      </c>
      <c r="I53" s="3" t="inlineStr">
        <is>
          <t>— Not tested</t>
        </is>
      </c>
      <c r="J53" s="3" t="inlineStr">
        <is>
          <t>— Not tested</t>
        </is>
      </c>
    </row>
    <row r="54">
      <c r="A54" s="6" t="n">
        <v>53</v>
      </c>
      <c r="B54" s="6" t="inlineStr">
        <is>
          <t>1 — Strategies</t>
        </is>
      </c>
      <c r="C54" s="6" t="n">
        <v>6</v>
      </c>
      <c r="D54" s="6" t="inlineStr">
        <is>
          <t>Builder Step 1 — General Info (every field)</t>
        </is>
      </c>
      <c r="E54" s="3" t="inlineStr">
        <is>
          <t>P0</t>
        </is>
      </c>
      <c r="F54" s="3" t="inlineStr">
        <is>
          <t>Complete name + markets + timeframes → click **Next**.</t>
        </is>
      </c>
      <c r="G54" s="3" t="inlineStr">
        <is>
          <t>Advances to Step 2 without errors.</t>
        </is>
      </c>
      <c r="H54" s="3" t="inlineStr">
        <is>
          <t>— Not tested</t>
        </is>
      </c>
      <c r="I54" s="3" t="inlineStr">
        <is>
          <t>— Not tested</t>
        </is>
      </c>
      <c r="J54" s="3" t="inlineStr">
        <is>
          <t>— Not tested</t>
        </is>
      </c>
    </row>
    <row r="55">
      <c r="A55" s="6" t="n">
        <v>54</v>
      </c>
      <c r="B55" s="6" t="inlineStr">
        <is>
          <t>1 — Strategies</t>
        </is>
      </c>
      <c r="C55" s="6" t="n">
        <v>7</v>
      </c>
      <c r="D55" s="6" t="inlineStr">
        <is>
          <t>Builder Step 2 — Strategy Flow Canvas</t>
        </is>
      </c>
      <c r="E55" s="3" t="inlineStr">
        <is>
          <t>P0</t>
        </is>
      </c>
      <c r="F55" s="3" t="inlineStr">
        <is>
          <t>On Step 2, locate the visual **canvas** workspace.</t>
        </is>
      </c>
      <c r="G55" s="3" t="inlineStr">
        <is>
          <t>Canvas renders with grid/background.</t>
        </is>
      </c>
      <c r="H55" s="3" t="inlineStr">
        <is>
          <t>— Not tested</t>
        </is>
      </c>
      <c r="I55" s="3" t="inlineStr">
        <is>
          <t>— Not tested</t>
        </is>
      </c>
      <c r="J55" s="3" t="inlineStr">
        <is>
          <t>— Not tested</t>
        </is>
      </c>
    </row>
    <row r="56">
      <c r="A56" s="6" t="n">
        <v>55</v>
      </c>
      <c r="B56" s="6" t="inlineStr">
        <is>
          <t>1 — Strategies</t>
        </is>
      </c>
      <c r="C56" s="6" t="n">
        <v>7</v>
      </c>
      <c r="D56" s="6" t="inlineStr">
        <is>
          <t>Builder Step 2 — Strategy Flow Canvas</t>
        </is>
      </c>
      <c r="E56" s="3" t="inlineStr">
        <is>
          <t>P0</t>
        </is>
      </c>
      <c r="F56" s="3" t="inlineStr">
        <is>
          <t>Open the **palette** (left panel) — list condition/group types.</t>
        </is>
      </c>
      <c r="G56" s="3" t="inlineStr">
        <is>
          <t>Palette items visible and clickable.</t>
        </is>
      </c>
      <c r="H56" s="3" t="inlineStr">
        <is>
          <t>— Not tested</t>
        </is>
      </c>
      <c r="I56" s="3" t="inlineStr">
        <is>
          <t>— Not tested</t>
        </is>
      </c>
      <c r="J56" s="3" t="inlineStr">
        <is>
          <t>— Not tested</t>
        </is>
      </c>
    </row>
    <row r="57">
      <c r="A57" s="6" t="n">
        <v>56</v>
      </c>
      <c r="B57" s="6" t="inlineStr">
        <is>
          <t>1 — Strategies</t>
        </is>
      </c>
      <c r="C57" s="6" t="n">
        <v>7</v>
      </c>
      <c r="D57" s="6" t="inlineStr">
        <is>
          <t>Builder Step 2 — Strategy Flow Canvas</t>
        </is>
      </c>
      <c r="E57" s="3" t="inlineStr">
        <is>
          <t>P0</t>
        </is>
      </c>
      <c r="F57" s="3" t="inlineStr">
        <is>
          <t>Add a **group** to the canvas.</t>
        </is>
      </c>
      <c r="G57" s="3" t="inlineStr">
        <is>
          <t>Group node appears on canvas.</t>
        </is>
      </c>
      <c r="H57" s="3" t="inlineStr">
        <is>
          <t>— Not tested</t>
        </is>
      </c>
      <c r="I57" s="3" t="inlineStr">
        <is>
          <t>— Not tested</t>
        </is>
      </c>
      <c r="J57" s="3" t="inlineStr">
        <is>
          <t>— Not tested</t>
        </is>
      </c>
    </row>
    <row r="58">
      <c r="A58" s="6" t="n">
        <v>57</v>
      </c>
      <c r="B58" s="6" t="inlineStr">
        <is>
          <t>1 — Strategies</t>
        </is>
      </c>
      <c r="C58" s="6" t="n">
        <v>7</v>
      </c>
      <c r="D58" s="6" t="inlineStr">
        <is>
          <t>Builder Step 2 — Strategy Flow Canvas</t>
        </is>
      </c>
      <c r="E58" s="3" t="inlineStr">
        <is>
          <t>P0</t>
        </is>
      </c>
      <c r="F58" s="3" t="inlineStr">
        <is>
          <t>Add a **condition** inside a group.</t>
        </is>
      </c>
      <c r="G58" s="3" t="inlineStr">
        <is>
          <t>Condition node appears; linked to group.</t>
        </is>
      </c>
      <c r="H58" s="3" t="inlineStr">
        <is>
          <t>— Not tested</t>
        </is>
      </c>
      <c r="I58" s="3" t="inlineStr">
        <is>
          <t>— Not tested</t>
        </is>
      </c>
      <c r="J58" s="3" t="inlineStr">
        <is>
          <t>— Not tested</t>
        </is>
      </c>
    </row>
    <row r="59">
      <c r="A59" s="6" t="n">
        <v>58</v>
      </c>
      <c r="B59" s="6" t="inlineStr">
        <is>
          <t>1 — Strategies</t>
        </is>
      </c>
      <c r="C59" s="6" t="n">
        <v>7</v>
      </c>
      <c r="D59" s="6" t="inlineStr">
        <is>
          <t>Builder Step 2 — Strategy Flow Canvas</t>
        </is>
      </c>
      <c r="E59" s="3" t="inlineStr">
        <is>
          <t>P1</t>
        </is>
      </c>
      <c r="F59" s="3" t="inlineStr">
        <is>
          <t>Set condition status: **Mandatory**, **Optional**, or **Invalidate**.</t>
        </is>
      </c>
      <c r="G59" s="3" t="inlineStr">
        <is>
          <t>Status badge/color updates on node.</t>
        </is>
      </c>
      <c r="H59" s="3" t="inlineStr">
        <is>
          <t>— Not tested</t>
        </is>
      </c>
      <c r="I59" s="3" t="inlineStr">
        <is>
          <t>— Not tested</t>
        </is>
      </c>
      <c r="J59" s="3" t="inlineStr">
        <is>
          <t>— Not tested</t>
        </is>
      </c>
    </row>
    <row r="60">
      <c r="A60" s="6" t="n">
        <v>59</v>
      </c>
      <c r="B60" s="6" t="inlineStr">
        <is>
          <t>1 — Strategies</t>
        </is>
      </c>
      <c r="C60" s="6" t="n">
        <v>7</v>
      </c>
      <c r="D60" s="6" t="inlineStr">
        <is>
          <t>Builder Step 2 — Strategy Flow Canvas</t>
        </is>
      </c>
      <c r="E60" s="3" t="inlineStr">
        <is>
          <t>P1</t>
        </is>
      </c>
      <c r="F60" s="3" t="inlineStr">
        <is>
          <t>Connect nodes with **edges** if flow connections supported.</t>
        </is>
      </c>
      <c r="G60" s="3" t="inlineStr">
        <is>
          <t>Lines/arrows connect nodes.</t>
        </is>
      </c>
      <c r="H60" s="3" t="inlineStr">
        <is>
          <t>— Not tested</t>
        </is>
      </c>
      <c r="I60" s="3" t="inlineStr">
        <is>
          <t>— Not tested</t>
        </is>
      </c>
      <c r="J60" s="3" t="inlineStr">
        <is>
          <t>— Not tested</t>
        </is>
      </c>
    </row>
    <row r="61">
      <c r="A61" s="6" t="n">
        <v>60</v>
      </c>
      <c r="B61" s="6" t="inlineStr">
        <is>
          <t>1 — Strategies</t>
        </is>
      </c>
      <c r="C61" s="6" t="n">
        <v>7</v>
      </c>
      <c r="D61" s="6" t="inlineStr">
        <is>
          <t>Builder Step 2 — Strategy Flow Canvas</t>
        </is>
      </c>
      <c r="E61" s="3" t="inlineStr">
        <is>
          <t>P0</t>
        </is>
      </c>
      <c r="F61" s="3" t="inlineStr">
        <is>
          <t>Select a node → open **inspector** (right panel).</t>
        </is>
      </c>
      <c r="G61" s="3" t="inlineStr">
        <is>
          <t>Inspector shows editable fields for selected node.</t>
        </is>
      </c>
      <c r="H61" s="3" t="inlineStr">
        <is>
          <t>— Not tested</t>
        </is>
      </c>
      <c r="I61" s="3" t="inlineStr">
        <is>
          <t>— Not tested</t>
        </is>
      </c>
      <c r="J61" s="3" t="inlineStr">
        <is>
          <t>— Not tested</t>
        </is>
      </c>
    </row>
    <row r="62">
      <c r="A62" s="6" t="n">
        <v>61</v>
      </c>
      <c r="B62" s="6" t="inlineStr">
        <is>
          <t>1 — Strategies</t>
        </is>
      </c>
      <c r="C62" s="6" t="n">
        <v>7</v>
      </c>
      <c r="D62" s="6" t="inlineStr">
        <is>
          <t>Builder Step 2 — Strategy Flow Canvas</t>
        </is>
      </c>
      <c r="E62" s="3" t="inlineStr">
        <is>
          <t>P1</t>
        </is>
      </c>
      <c r="F62" s="3" t="inlineStr">
        <is>
          <t>Edit condition text/title in inspector.</t>
        </is>
      </c>
      <c r="G62" s="3" t="inlineStr">
        <is>
          <t>Canvas label updates.</t>
        </is>
      </c>
      <c r="H62" s="3" t="inlineStr">
        <is>
          <t>— Not tested</t>
        </is>
      </c>
      <c r="I62" s="3" t="inlineStr">
        <is>
          <t>— Not tested</t>
        </is>
      </c>
      <c r="J62" s="3" t="inlineStr">
        <is>
          <t>— Not tested</t>
        </is>
      </c>
    </row>
    <row r="63">
      <c r="A63" s="6" t="n">
        <v>62</v>
      </c>
      <c r="B63" s="6" t="inlineStr">
        <is>
          <t>1 — Strategies</t>
        </is>
      </c>
      <c r="C63" s="6" t="n">
        <v>7</v>
      </c>
      <c r="D63" s="6" t="inlineStr">
        <is>
          <t>Builder Step 2 — Strategy Flow Canvas</t>
        </is>
      </c>
      <c r="E63" s="3" t="inlineStr">
        <is>
          <t>P2</t>
        </is>
      </c>
      <c r="F63" s="3" t="inlineStr">
        <is>
          <t>Collapse/expand **minimap** if toggle exists.</t>
        </is>
      </c>
      <c r="G63" s="3" t="inlineStr">
        <is>
          <t>Minimap hides/shows.</t>
        </is>
      </c>
      <c r="H63" s="3" t="inlineStr">
        <is>
          <t>— Not tested</t>
        </is>
      </c>
      <c r="I63" s="3" t="inlineStr">
        <is>
          <t>— Not tested</t>
        </is>
      </c>
      <c r="J63" s="3" t="inlineStr">
        <is>
          <t>— Not tested</t>
        </is>
      </c>
    </row>
    <row r="64">
      <c r="A64" s="6" t="n">
        <v>63</v>
      </c>
      <c r="B64" s="6" t="inlineStr">
        <is>
          <t>1 — Strategies</t>
        </is>
      </c>
      <c r="C64" s="6" t="n">
        <v>7</v>
      </c>
      <c r="D64" s="6" t="inlineStr">
        <is>
          <t>Builder Step 2 — Strategy Flow Canvas</t>
        </is>
      </c>
      <c r="E64" s="3" t="inlineStr">
        <is>
          <t>P2</t>
        </is>
      </c>
      <c r="F64" s="3" t="inlineStr">
        <is>
          <t>Collapse **palette** or **inspector** if toggles exist.</t>
        </is>
      </c>
      <c r="G64" s="3" t="inlineStr">
        <is>
          <t>Panels collapse without breaking canvas.</t>
        </is>
      </c>
      <c r="H64" s="3" t="inlineStr">
        <is>
          <t>— Not tested</t>
        </is>
      </c>
      <c r="I64" s="3" t="inlineStr">
        <is>
          <t>— Not tested</t>
        </is>
      </c>
      <c r="J64" s="3" t="inlineStr">
        <is>
          <t>— Not tested</t>
        </is>
      </c>
    </row>
    <row r="65">
      <c r="A65" s="6" t="n">
        <v>64</v>
      </c>
      <c r="B65" s="6" t="inlineStr">
        <is>
          <t>1 — Strategies</t>
        </is>
      </c>
      <c r="C65" s="6" t="n">
        <v>7</v>
      </c>
      <c r="D65" s="6" t="inlineStr">
        <is>
          <t>Builder Step 2 — Strategy Flow Canvas</t>
        </is>
      </c>
      <c r="E65" s="3" t="inlineStr">
        <is>
          <t>P2</t>
        </is>
      </c>
      <c r="F65" s="3" t="inlineStr">
        <is>
          <t>Use **undo** if available after adding nodes.</t>
        </is>
      </c>
      <c r="G65" s="3" t="inlineStr">
        <is>
          <t>Last action reverses.</t>
        </is>
      </c>
      <c r="H65" s="3" t="inlineStr">
        <is>
          <t>— Not tested</t>
        </is>
      </c>
      <c r="I65" s="3" t="inlineStr">
        <is>
          <t>— Not tested</t>
        </is>
      </c>
      <c r="J65" s="3" t="inlineStr">
        <is>
          <t>— Not tested</t>
        </is>
      </c>
    </row>
    <row r="66">
      <c r="A66" s="6" t="n">
        <v>65</v>
      </c>
      <c r="B66" s="6" t="inlineStr">
        <is>
          <t>1 — Strategies</t>
        </is>
      </c>
      <c r="C66" s="6" t="n">
        <v>7</v>
      </c>
      <c r="D66" s="6" t="inlineStr">
        <is>
          <t>Builder Step 2 — Strategy Flow Canvas</t>
        </is>
      </c>
      <c r="E66" s="3" t="inlineStr">
        <is>
          <t>P2</t>
        </is>
      </c>
      <c r="F66" s="3" t="inlineStr">
        <is>
          <t>Use **print/export flow** if toolbar button exists.</t>
        </is>
      </c>
      <c r="G66" s="3" t="inlineStr">
        <is>
          <t>Print preview or export opens.</t>
        </is>
      </c>
      <c r="H66" s="3" t="inlineStr">
        <is>
          <t>— Not tested</t>
        </is>
      </c>
      <c r="I66" s="3" t="inlineStr">
        <is>
          <t>— Not tested</t>
        </is>
      </c>
      <c r="J66" s="3" t="inlineStr">
        <is>
          <t>— Not tested</t>
        </is>
      </c>
    </row>
    <row r="67">
      <c r="A67" s="6" t="n">
        <v>66</v>
      </c>
      <c r="B67" s="6" t="inlineStr">
        <is>
          <t>1 — Strategies</t>
        </is>
      </c>
      <c r="C67" s="6" t="n">
        <v>7</v>
      </c>
      <c r="D67" s="6" t="inlineStr">
        <is>
          <t>Builder Step 2 — Strategy Flow Canvas</t>
        </is>
      </c>
      <c r="E67" s="3" t="inlineStr">
        <is>
          <t>P1</t>
        </is>
      </c>
      <c r="F67" s="3" t="inlineStr">
        <is>
          <t>Delete a node (keyboard Delete or context action).</t>
        </is>
      </c>
      <c r="G67" s="3" t="inlineStr">
        <is>
          <t>Node removed from canvas.</t>
        </is>
      </c>
      <c r="H67" s="3" t="inlineStr">
        <is>
          <t>— Not tested</t>
        </is>
      </c>
      <c r="I67" s="3" t="inlineStr">
        <is>
          <t>— Not tested</t>
        </is>
      </c>
      <c r="J67" s="3" t="inlineStr">
        <is>
          <t>— Not tested</t>
        </is>
      </c>
    </row>
    <row r="68">
      <c r="A68" s="6" t="n">
        <v>67</v>
      </c>
      <c r="B68" s="6" t="inlineStr">
        <is>
          <t>1 — Strategies</t>
        </is>
      </c>
      <c r="C68" s="6" t="n">
        <v>7</v>
      </c>
      <c r="D68" s="6" t="inlineStr">
        <is>
          <t>Builder Step 2 — Strategy Flow Canvas</t>
        </is>
      </c>
      <c r="E68" s="3" t="inlineStr">
        <is>
          <t>P0</t>
        </is>
      </c>
      <c r="F68" s="3" t="inlineStr">
        <is>
          <t>Click **Next** to Step 3.</t>
        </is>
      </c>
      <c r="G68" s="3" t="inlineStr">
        <is>
          <t>Flow data preserved.</t>
        </is>
      </c>
      <c r="H68" s="3" t="inlineStr">
        <is>
          <t>— Not tested</t>
        </is>
      </c>
      <c r="I68" s="3" t="inlineStr">
        <is>
          <t>— Not tested</t>
        </is>
      </c>
      <c r="J68" s="3" t="inlineStr">
        <is>
          <t>— Not tested</t>
        </is>
      </c>
    </row>
    <row r="69">
      <c r="A69" s="6" t="n">
        <v>68</v>
      </c>
      <c r="B69" s="6" t="inlineStr">
        <is>
          <t>1 — Strategies</t>
        </is>
      </c>
      <c r="C69" s="6" t="n">
        <v>8</v>
      </c>
      <c r="D69" s="6" t="inlineStr">
        <is>
          <t>Builder Step 3 — Trade Tags</t>
        </is>
      </c>
      <c r="E69" s="3" t="inlineStr">
        <is>
          <t>P0</t>
        </is>
      </c>
      <c r="F69" s="3" t="inlineStr">
        <is>
          <t>On Step 3, locate **Pre-trade tags** section.</t>
        </is>
      </c>
      <c r="G69" s="3" t="inlineStr">
        <is>
          <t>Pre-trade tag list/editor visible.</t>
        </is>
      </c>
      <c r="H69" s="3" t="inlineStr">
        <is>
          <t>— Not tested</t>
        </is>
      </c>
      <c r="I69" s="3" t="inlineStr">
        <is>
          <t>— Not tested</t>
        </is>
      </c>
      <c r="J69" s="3" t="inlineStr">
        <is>
          <t>— Not tested</t>
        </is>
      </c>
    </row>
    <row r="70">
      <c r="A70" s="6" t="n">
        <v>69</v>
      </c>
      <c r="B70" s="6" t="inlineStr">
        <is>
          <t>1 — Strategies</t>
        </is>
      </c>
      <c r="C70" s="6" t="n">
        <v>8</v>
      </c>
      <c r="D70" s="6" t="inlineStr">
        <is>
          <t>Builder Step 3 — Trade Tags</t>
        </is>
      </c>
      <c r="E70" s="3" t="inlineStr">
        <is>
          <t>P0</t>
        </is>
      </c>
      <c r="F70" s="3" t="inlineStr">
        <is>
          <t>Add a new **pre-trade tag** (name + type if applicable).</t>
        </is>
      </c>
      <c r="G70" s="3" t="inlineStr">
        <is>
          <t>Tag appears in list.</t>
        </is>
      </c>
      <c r="H70" s="3" t="inlineStr">
        <is>
          <t>— Not tested</t>
        </is>
      </c>
      <c r="I70" s="3" t="inlineStr">
        <is>
          <t>— Not tested</t>
        </is>
      </c>
      <c r="J70" s="3" t="inlineStr">
        <is>
          <t>— Not tested</t>
        </is>
      </c>
    </row>
    <row r="71">
      <c r="A71" s="6" t="n">
        <v>70</v>
      </c>
      <c r="B71" s="6" t="inlineStr">
        <is>
          <t>1 — Strategies</t>
        </is>
      </c>
      <c r="C71" s="6" t="n">
        <v>8</v>
      </c>
      <c r="D71" s="6" t="inlineStr">
        <is>
          <t>Builder Step 3 — Trade Tags</t>
        </is>
      </c>
      <c r="E71" s="3" t="inlineStr">
        <is>
          <t>P0</t>
        </is>
      </c>
      <c r="F71" s="3" t="inlineStr">
        <is>
          <t>Add **post-trade tag**.</t>
        </is>
      </c>
      <c r="G71" s="3" t="inlineStr">
        <is>
          <t>Post-trade tag appears.</t>
        </is>
      </c>
      <c r="H71" s="3" t="inlineStr">
        <is>
          <t>— Not tested</t>
        </is>
      </c>
      <c r="I71" s="3" t="inlineStr">
        <is>
          <t>— Not tested</t>
        </is>
      </c>
      <c r="J71" s="3" t="inlineStr">
        <is>
          <t>— Not tested</t>
        </is>
      </c>
    </row>
    <row r="72">
      <c r="A72" s="6" t="n">
        <v>71</v>
      </c>
      <c r="B72" s="6" t="inlineStr">
        <is>
          <t>1 — Strategies</t>
        </is>
      </c>
      <c r="C72" s="6" t="n">
        <v>8</v>
      </c>
      <c r="D72" s="6" t="inlineStr">
        <is>
          <t>Builder Step 3 — Trade Tags</t>
        </is>
      </c>
      <c r="E72" s="3" t="inlineStr">
        <is>
          <t>P2</t>
        </is>
      </c>
      <c r="F72" s="3" t="inlineStr">
        <is>
          <t>Add a **divider** between tag groups if supported.</t>
        </is>
      </c>
      <c r="G72" s="3" t="inlineStr">
        <is>
          <t>Divider renders in tag list.</t>
        </is>
      </c>
      <c r="H72" s="3" t="inlineStr">
        <is>
          <t>— Not tested</t>
        </is>
      </c>
      <c r="I72" s="3" t="inlineStr">
        <is>
          <t>— Not tested</t>
        </is>
      </c>
      <c r="J72" s="3" t="inlineStr">
        <is>
          <t>— Not tested</t>
        </is>
      </c>
    </row>
    <row r="73">
      <c r="A73" s="6" t="n">
        <v>72</v>
      </c>
      <c r="B73" s="6" t="inlineStr">
        <is>
          <t>1 — Strategies</t>
        </is>
      </c>
      <c r="C73" s="6" t="n">
        <v>8</v>
      </c>
      <c r="D73" s="6" t="inlineStr">
        <is>
          <t>Builder Step 3 — Trade Tags</t>
        </is>
      </c>
      <c r="E73" s="3" t="inlineStr">
        <is>
          <t>P1</t>
        </is>
      </c>
      <c r="F73" s="3" t="inlineStr">
        <is>
          <t>Edit an existing tag label.</t>
        </is>
      </c>
      <c r="G73" s="3" t="inlineStr">
        <is>
          <t>Change saves in UI.</t>
        </is>
      </c>
      <c r="H73" s="3" t="inlineStr">
        <is>
          <t>— Not tested</t>
        </is>
      </c>
      <c r="I73" s="3" t="inlineStr">
        <is>
          <t>— Not tested</t>
        </is>
      </c>
      <c r="J73" s="3" t="inlineStr">
        <is>
          <t>— Not tested</t>
        </is>
      </c>
    </row>
    <row r="74">
      <c r="A74" s="6" t="n">
        <v>73</v>
      </c>
      <c r="B74" s="6" t="inlineStr">
        <is>
          <t>1 — Strategies</t>
        </is>
      </c>
      <c r="C74" s="6" t="n">
        <v>8</v>
      </c>
      <c r="D74" s="6" t="inlineStr">
        <is>
          <t>Builder Step 3 — Trade Tags</t>
        </is>
      </c>
      <c r="E74" s="3" t="inlineStr">
        <is>
          <t>P1</t>
        </is>
      </c>
      <c r="F74" s="3" t="inlineStr">
        <is>
          <t>Delete a tag.</t>
        </is>
      </c>
      <c r="G74" s="3" t="inlineStr">
        <is>
          <t>Tag removed.</t>
        </is>
      </c>
      <c r="H74" s="3" t="inlineStr">
        <is>
          <t>— Not tested</t>
        </is>
      </c>
      <c r="I74" s="3" t="inlineStr">
        <is>
          <t>— Not tested</t>
        </is>
      </c>
      <c r="J74" s="3" t="inlineStr">
        <is>
          <t>— Not tested</t>
        </is>
      </c>
    </row>
    <row r="75">
      <c r="A75" s="6" t="n">
        <v>74</v>
      </c>
      <c r="B75" s="6" t="inlineStr">
        <is>
          <t>1 — Strategies</t>
        </is>
      </c>
      <c r="C75" s="6" t="n">
        <v>8</v>
      </c>
      <c r="D75" s="6" t="inlineStr">
        <is>
          <t>Builder Step 3 — Trade Tags</t>
        </is>
      </c>
      <c r="E75" s="3" t="inlineStr">
        <is>
          <t>P1</t>
        </is>
      </c>
      <c r="F75" s="3" t="inlineStr">
        <is>
          <t>Configure **variable types** for tags if options exist (checkbox, number, text).</t>
        </is>
      </c>
      <c r="G75" s="3" t="inlineStr">
        <is>
          <t>Variable type saves correctly.</t>
        </is>
      </c>
      <c r="H75" s="3" t="inlineStr">
        <is>
          <t>— Not tested</t>
        </is>
      </c>
      <c r="I75" s="3" t="inlineStr">
        <is>
          <t>— Not tested</t>
        </is>
      </c>
      <c r="J75" s="3" t="inlineStr">
        <is>
          <t>— Not tested</t>
        </is>
      </c>
    </row>
    <row r="76">
      <c r="A76" s="6" t="n">
        <v>75</v>
      </c>
      <c r="B76" s="6" t="inlineStr">
        <is>
          <t>1 — Strategies</t>
        </is>
      </c>
      <c r="C76" s="6" t="n">
        <v>8</v>
      </c>
      <c r="D76" s="6" t="inlineStr">
        <is>
          <t>Builder Step 3 — Trade Tags</t>
        </is>
      </c>
      <c r="E76" s="3" t="inlineStr">
        <is>
          <t>P0</t>
        </is>
      </c>
      <c r="F76" s="3" t="inlineStr">
        <is>
          <t>Click **Next** to Review.</t>
        </is>
      </c>
      <c r="G76" s="3" t="inlineStr">
        <is>
          <t>Tags preserved on Step 4.</t>
        </is>
      </c>
      <c r="H76" s="3" t="inlineStr">
        <is>
          <t>— Not tested</t>
        </is>
      </c>
      <c r="I76" s="3" t="inlineStr">
        <is>
          <t>— Not tested</t>
        </is>
      </c>
      <c r="J76" s="3" t="inlineStr">
        <is>
          <t>— Not tested</t>
        </is>
      </c>
    </row>
    <row r="77">
      <c r="A77" s="6" t="n">
        <v>76</v>
      </c>
      <c r="B77" s="6" t="inlineStr">
        <is>
          <t>1 — Strategies</t>
        </is>
      </c>
      <c r="C77" s="6" t="n">
        <v>9</v>
      </c>
      <c r="D77" s="6" t="inlineStr">
        <is>
          <t>Builder Step 4 — Review &amp; Save</t>
        </is>
      </c>
      <c r="E77" s="3" t="inlineStr">
        <is>
          <t>P0</t>
        </is>
      </c>
      <c r="F77" s="3" t="inlineStr">
        <is>
          <t>On Step 4, verify **General Info** summary block.</t>
        </is>
      </c>
      <c r="G77" s="3" t="inlineStr">
        <is>
          <t>Shows name, markets, timeframes, description.</t>
        </is>
      </c>
      <c r="H77" s="3" t="inlineStr">
        <is>
          <t>— Not tested</t>
        </is>
      </c>
      <c r="I77" s="3" t="inlineStr">
        <is>
          <t>— Not tested</t>
        </is>
      </c>
      <c r="J77" s="3" t="inlineStr">
        <is>
          <t>— Not tested</t>
        </is>
      </c>
    </row>
    <row r="78">
      <c r="A78" s="6" t="n">
        <v>77</v>
      </c>
      <c r="B78" s="6" t="inlineStr">
        <is>
          <t>1 — Strategies</t>
        </is>
      </c>
      <c r="C78" s="6" t="n">
        <v>9</v>
      </c>
      <c r="D78" s="6" t="inlineStr">
        <is>
          <t>Builder Step 4 — Review &amp; Save</t>
        </is>
      </c>
      <c r="E78" s="3" t="inlineStr">
        <is>
          <t>P0</t>
        </is>
      </c>
      <c r="F78" s="3" t="inlineStr">
        <is>
          <t>Verify **Strategy Flow** summary: group count, condition count.</t>
        </is>
      </c>
      <c r="G78" s="3" t="inlineStr">
        <is>
          <t>Counts match what you built in Step 2.</t>
        </is>
      </c>
      <c r="H78" s="3" t="inlineStr">
        <is>
          <t>— Not tested</t>
        </is>
      </c>
      <c r="I78" s="3" t="inlineStr">
        <is>
          <t>— Not tested</t>
        </is>
      </c>
      <c r="J78" s="3" t="inlineStr">
        <is>
          <t>— Not tested</t>
        </is>
      </c>
    </row>
    <row r="79">
      <c r="A79" s="6" t="n">
        <v>78</v>
      </c>
      <c r="B79" s="6" t="inlineStr">
        <is>
          <t>1 — Strategies</t>
        </is>
      </c>
      <c r="C79" s="6" t="n">
        <v>9</v>
      </c>
      <c r="D79" s="6" t="inlineStr">
        <is>
          <t>Builder Step 4 — Review &amp; Save</t>
        </is>
      </c>
      <c r="E79" s="3" t="inlineStr">
        <is>
          <t>P1</t>
        </is>
      </c>
      <c r="F79" s="3" t="inlineStr">
        <is>
          <t>Verify **Trade Tags** summary.</t>
        </is>
      </c>
      <c r="G79" s="3" t="inlineStr">
        <is>
          <t>Pre/post tags listed.</t>
        </is>
      </c>
      <c r="H79" s="3" t="inlineStr">
        <is>
          <t>— Not tested</t>
        </is>
      </c>
      <c r="I79" s="3" t="inlineStr">
        <is>
          <t>— Not tested</t>
        </is>
      </c>
      <c r="J79" s="3" t="inlineStr">
        <is>
          <t>— Not tested</t>
        </is>
      </c>
    </row>
    <row r="80">
      <c r="A80" s="6" t="n">
        <v>79</v>
      </c>
      <c r="B80" s="6" t="inlineStr">
        <is>
          <t>1 — Strategies</t>
        </is>
      </c>
      <c r="C80" s="6" t="n">
        <v>9</v>
      </c>
      <c r="D80" s="6" t="inlineStr">
        <is>
          <t>Builder Step 4 — Review &amp; Save</t>
        </is>
      </c>
      <c r="E80" s="3" t="inlineStr">
        <is>
          <t>P1</t>
        </is>
      </c>
      <c r="F80" s="3" t="inlineStr">
        <is>
          <t>Check **readiness checklist** items (green/red).</t>
        </is>
      </c>
      <c r="G80" s="3" t="inlineStr">
        <is>
          <t>Incomplete items flagged.</t>
        </is>
      </c>
      <c r="H80" s="3" t="inlineStr">
        <is>
          <t>— Not tested</t>
        </is>
      </c>
      <c r="I80" s="3" t="inlineStr">
        <is>
          <t>— Not tested</t>
        </is>
      </c>
      <c r="J80" s="3" t="inlineStr">
        <is>
          <t>— Not tested</t>
        </is>
      </c>
    </row>
    <row r="81">
      <c r="A81" s="6" t="n">
        <v>80</v>
      </c>
      <c r="B81" s="6" t="inlineStr">
        <is>
          <t>1 — Strategies</t>
        </is>
      </c>
      <c r="C81" s="6" t="n">
        <v>9</v>
      </c>
      <c r="D81" s="6" t="inlineStr">
        <is>
          <t>Builder Step 4 — Review &amp; Save</t>
        </is>
      </c>
      <c r="E81" s="3" t="inlineStr">
        <is>
          <t>P2</t>
        </is>
      </c>
      <c r="F81" s="3" t="inlineStr">
        <is>
          <t>Check **linked backtest sessions** section if strategy has sessions.</t>
        </is>
      </c>
      <c r="G81" s="3" t="inlineStr">
        <is>
          <t>Sessions listed or empty state shown.</t>
        </is>
      </c>
      <c r="H81" s="3" t="inlineStr">
        <is>
          <t>— Not tested</t>
        </is>
      </c>
      <c r="I81" s="3" t="inlineStr">
        <is>
          <t>— Not tested</t>
        </is>
      </c>
      <c r="J81" s="3" t="inlineStr">
        <is>
          <t>— Not tested</t>
        </is>
      </c>
    </row>
    <row r="82">
      <c r="A82" s="6" t="n">
        <v>81</v>
      </c>
      <c r="B82" s="6" t="inlineStr">
        <is>
          <t>1 — Strategies</t>
        </is>
      </c>
      <c r="C82" s="6" t="n">
        <v>9</v>
      </c>
      <c r="D82" s="6" t="inlineStr">
        <is>
          <t>Builder Step 4 — Review &amp; Save</t>
        </is>
      </c>
      <c r="E82" s="3" t="inlineStr">
        <is>
          <t>P0</t>
        </is>
      </c>
      <c r="F82" s="3" t="inlineStr">
        <is>
          <t>Click **Save Strategy** with valid name.</t>
        </is>
      </c>
      <c r="G82" s="3" t="inlineStr">
        <is>
          <t>Saves successfully; modal closes; strategy appears in My Strategies.</t>
        </is>
      </c>
      <c r="H82" s="3" t="inlineStr">
        <is>
          <t>— Not tested</t>
        </is>
      </c>
      <c r="I82" s="3" t="inlineStr">
        <is>
          <t>— Not tested</t>
        </is>
      </c>
      <c r="J82" s="3" t="inlineStr">
        <is>
          <t>— Not tested</t>
        </is>
      </c>
    </row>
    <row r="83">
      <c r="A83" s="6" t="n">
        <v>82</v>
      </c>
      <c r="B83" s="6" t="inlineStr">
        <is>
          <t>1 — Strategies</t>
        </is>
      </c>
      <c r="C83" s="6" t="n">
        <v>9</v>
      </c>
      <c r="D83" s="6" t="inlineStr">
        <is>
          <t>Builder Step 4 — Review &amp; Save</t>
        </is>
      </c>
      <c r="E83" s="3" t="inlineStr">
        <is>
          <t>P0</t>
        </is>
      </c>
      <c r="F83" s="3" t="inlineStr">
        <is>
          <t>Re-open saved strategy — verify all 4 steps retain data.</t>
        </is>
      </c>
      <c r="G83" s="3" t="inlineStr">
        <is>
          <t>Full round-trip persistence.</t>
        </is>
      </c>
      <c r="H83" s="3" t="inlineStr">
        <is>
          <t>— Not tested</t>
        </is>
      </c>
      <c r="I83" s="3" t="inlineStr">
        <is>
          <t>— Not tested</t>
        </is>
      </c>
      <c r="J83" s="3" t="inlineStr">
        <is>
          <t>— Not tested</t>
        </is>
      </c>
    </row>
    <row r="84">
      <c r="A84" s="6" t="n">
        <v>83</v>
      </c>
      <c r="B84" s="6" t="inlineStr">
        <is>
          <t>1 — Strategies</t>
        </is>
      </c>
      <c r="C84" s="6" t="n">
        <v>9</v>
      </c>
      <c r="D84" s="6" t="inlineStr">
        <is>
          <t>Builder Step 4 — Review &amp; Save</t>
        </is>
      </c>
      <c r="E84" s="3" t="inlineStr">
        <is>
          <t>P1</t>
        </is>
      </c>
      <c r="F84" s="3" t="inlineStr">
        <is>
          <t>Try Save with empty name (if reachable).</t>
        </is>
      </c>
      <c r="G84" s="3" t="inlineStr">
        <is>
          <t>Save button disabled or error shown.</t>
        </is>
      </c>
      <c r="H84" s="3" t="inlineStr">
        <is>
          <t>— Not tested</t>
        </is>
      </c>
      <c r="I84" s="3" t="inlineStr">
        <is>
          <t>— Not tested</t>
        </is>
      </c>
      <c r="J84" s="3" t="inlineStr">
        <is>
          <t>— Not tested</t>
        </is>
      </c>
    </row>
    <row r="85">
      <c r="A85" s="6" t="n">
        <v>84</v>
      </c>
      <c r="B85" s="6" t="inlineStr">
        <is>
          <t>1 — Strategies</t>
        </is>
      </c>
      <c r="C85" s="6" t="n">
        <v>9</v>
      </c>
      <c r="D85" s="6" t="inlineStr">
        <is>
          <t>Builder Step 4 — Review &amp; Save</t>
        </is>
      </c>
      <c r="E85" s="3" t="inlineStr">
        <is>
          <t>P2</t>
        </is>
      </c>
      <c r="F85" s="3" t="inlineStr">
        <is>
          <t>If save fails (network), verify error message displays.</t>
        </is>
      </c>
      <c r="G85" s="3" t="inlineStr">
        <is>
          <t>saveError text visible; data not lost.</t>
        </is>
      </c>
      <c r="H85" s="3" t="inlineStr">
        <is>
          <t>— Not tested</t>
        </is>
      </c>
      <c r="I85" s="3" t="inlineStr">
        <is>
          <t>— Not tested</t>
        </is>
      </c>
      <c r="J85" s="3" t="inlineStr">
        <is>
          <t>— Not tested</t>
        </is>
      </c>
    </row>
    <row r="86">
      <c r="A86" s="7" t="n">
        <v>85</v>
      </c>
      <c r="B86" s="7" t="inlineStr">
        <is>
          <t>2 — Sessions</t>
        </is>
      </c>
      <c r="C86" s="7" t="n">
        <v>10</v>
      </c>
      <c r="D86" s="7" t="inlineStr">
        <is>
          <t>Navigate to Sessions Page</t>
        </is>
      </c>
      <c r="E86" s="3" t="inlineStr">
        <is>
          <t>P0</t>
        </is>
      </c>
      <c r="F86" s="3" t="inlineStr">
        <is>
          <t>Click **Backtest** in left navigation.</t>
        </is>
      </c>
      <c r="G86" s="3" t="inlineStr">
        <is>
          <t>Backtesting Sessions page opens.</t>
        </is>
      </c>
      <c r="H86" s="3" t="inlineStr">
        <is>
          <t>— Not tested</t>
        </is>
      </c>
      <c r="I86" s="3" t="inlineStr">
        <is>
          <t>— Not tested</t>
        </is>
      </c>
      <c r="J86" s="3" t="inlineStr">
        <is>
          <t>— Not tested</t>
        </is>
      </c>
    </row>
    <row r="87">
      <c r="A87" s="7" t="n">
        <v>86</v>
      </c>
      <c r="B87" s="7" t="inlineStr">
        <is>
          <t>2 — Sessions</t>
        </is>
      </c>
      <c r="C87" s="7" t="n">
        <v>10</v>
      </c>
      <c r="D87" s="7" t="inlineStr">
        <is>
          <t>Navigate to Sessions Page</t>
        </is>
      </c>
      <c r="E87" s="3" t="inlineStr">
        <is>
          <t>P1</t>
        </is>
      </c>
      <c r="F87" s="3" t="inlineStr">
        <is>
          <t>Verify header: logo, “Talaria-Log”, subtitle “Backtesting Sessions”.</t>
        </is>
      </c>
      <c r="G87" s="3" t="inlineStr">
        <is>
          <t>Header renders correctly.</t>
        </is>
      </c>
      <c r="H87" s="3" t="inlineStr">
        <is>
          <t>— Not tested</t>
        </is>
      </c>
      <c r="I87" s="3" t="inlineStr">
        <is>
          <t>— Not tested</t>
        </is>
      </c>
      <c r="J87" s="3" t="inlineStr">
        <is>
          <t>— Not tested</t>
        </is>
      </c>
    </row>
    <row r="88">
      <c r="A88" s="7" t="n">
        <v>87</v>
      </c>
      <c r="B88" s="7" t="inlineStr">
        <is>
          <t>2 — Sessions</t>
        </is>
      </c>
      <c r="C88" s="7" t="n">
        <v>10</v>
      </c>
      <c r="D88" s="7" t="inlineStr">
        <is>
          <t>Navigate to Sessions Page</t>
        </is>
      </c>
      <c r="E88" s="3" t="inlineStr">
        <is>
          <t>P0</t>
        </is>
      </c>
      <c r="F88" s="3" t="inlineStr">
        <is>
          <t>Locate **New Session** button (top right, blue).</t>
        </is>
      </c>
      <c r="G88" s="3" t="inlineStr">
        <is>
          <t>Button visible.</t>
        </is>
      </c>
      <c r="H88" s="3" t="inlineStr">
        <is>
          <t>— Not tested</t>
        </is>
      </c>
      <c r="I88" s="3" t="inlineStr">
        <is>
          <t>— Not tested</t>
        </is>
      </c>
      <c r="J88" s="3" t="inlineStr">
        <is>
          <t>— Not tested</t>
        </is>
      </c>
    </row>
    <row r="89">
      <c r="A89" s="7" t="n">
        <v>88</v>
      </c>
      <c r="B89" s="7" t="inlineStr">
        <is>
          <t>2 — Sessions</t>
        </is>
      </c>
      <c r="C89" s="7" t="n">
        <v>11</v>
      </c>
      <c r="D89" s="7" t="inlineStr">
        <is>
          <t>Sessions — Stats Dashboard</t>
        </is>
      </c>
      <c r="E89" s="3" t="inlineStr">
        <is>
          <t>P1</t>
        </is>
      </c>
      <c r="F89" s="3" t="inlineStr">
        <is>
          <t>Review **Sessions &amp; Mode** tile: Standard, Prop Firm, Journal counts.</t>
        </is>
      </c>
      <c r="G89" s="3" t="inlineStr">
        <is>
          <t>Counts match your session list.</t>
        </is>
      </c>
      <c r="H89" s="3" t="inlineStr">
        <is>
          <t>— Not tested</t>
        </is>
      </c>
      <c r="I89" s="3" t="inlineStr">
        <is>
          <t>— Not tested</t>
        </is>
      </c>
      <c r="J89" s="3" t="inlineStr">
        <is>
          <t>— Not tested</t>
        </is>
      </c>
    </row>
    <row r="90">
      <c r="A90" s="7" t="n">
        <v>89</v>
      </c>
      <c r="B90" s="7" t="inlineStr">
        <is>
          <t>2 — Sessions</t>
        </is>
      </c>
      <c r="C90" s="7" t="n">
        <v>11</v>
      </c>
      <c r="D90" s="7" t="inlineStr">
        <is>
          <t>Sessions — Stats Dashboard</t>
        </is>
      </c>
      <c r="E90" s="3" t="inlineStr">
        <is>
          <t>P1</t>
        </is>
      </c>
      <c r="F90" s="3" t="inlineStr">
        <is>
          <t>Review **Total Trades** bar chart; hover a bar.</t>
        </is>
      </c>
      <c r="G90" s="3" t="inlineStr">
        <is>
          <t>Tooltip shows session name, trades, mode, strategy.</t>
        </is>
      </c>
      <c r="H90" s="3" t="inlineStr">
        <is>
          <t>— Not tested</t>
        </is>
      </c>
      <c r="I90" s="3" t="inlineStr">
        <is>
          <t>— Not tested</t>
        </is>
      </c>
      <c r="J90" s="3" t="inlineStr">
        <is>
          <t>— Not tested</t>
        </is>
      </c>
    </row>
    <row r="91">
      <c r="A91" s="7" t="n">
        <v>90</v>
      </c>
      <c r="B91" s="7" t="inlineStr">
        <is>
          <t>2 — Sessions</t>
        </is>
      </c>
      <c r="C91" s="7" t="n">
        <v>11</v>
      </c>
      <c r="D91" s="7" t="inlineStr">
        <is>
          <t>Sessions — Stats Dashboard</t>
        </is>
      </c>
      <c r="E91" s="3" t="inlineStr">
        <is>
          <t>P2</t>
        </is>
      </c>
      <c r="F91" s="3" t="inlineStr">
        <is>
          <t>Review **Profitable Sessions %** arc/chart.</t>
        </is>
      </c>
      <c r="G91" s="3" t="inlineStr">
        <is>
          <t>Percentage calculates from sessions with P&amp;L.</t>
        </is>
      </c>
      <c r="H91" s="3" t="inlineStr">
        <is>
          <t>— Not tested</t>
        </is>
      </c>
      <c r="I91" s="3" t="inlineStr">
        <is>
          <t>— Not tested</t>
        </is>
      </c>
      <c r="J91" s="3" t="inlineStr">
        <is>
          <t>— Not tested</t>
        </is>
      </c>
    </row>
    <row r="92">
      <c r="A92" s="7" t="n">
        <v>91</v>
      </c>
      <c r="B92" s="7" t="inlineStr">
        <is>
          <t>2 — Sessions</t>
        </is>
      </c>
      <c r="C92" s="7" t="n">
        <v>11</v>
      </c>
      <c r="D92" s="7" t="inlineStr">
        <is>
          <t>Sessions — Stats Dashboard</t>
        </is>
      </c>
      <c r="E92" s="3" t="inlineStr">
        <is>
          <t>P2</t>
        </is>
      </c>
      <c r="F92" s="3" t="inlineStr">
        <is>
          <t>Review **Days Tested** metric.</t>
        </is>
      </c>
      <c r="G92" s="3" t="inlineStr">
        <is>
          <t>Reasonable total days across sessions.</t>
        </is>
      </c>
      <c r="H92" s="3" t="inlineStr">
        <is>
          <t>— Not tested</t>
        </is>
      </c>
      <c r="I92" s="3" t="inlineStr">
        <is>
          <t>— Not tested</t>
        </is>
      </c>
      <c r="J92" s="3" t="inlineStr">
        <is>
          <t>— Not tested</t>
        </is>
      </c>
    </row>
    <row r="93">
      <c r="A93" s="7" t="n">
        <v>92</v>
      </c>
      <c r="B93" s="7" t="inlineStr">
        <is>
          <t>2 — Sessions</t>
        </is>
      </c>
      <c r="C93" s="7" t="n">
        <v>11</v>
      </c>
      <c r="D93" s="7" t="inlineStr">
        <is>
          <t>Sessions — Stats Dashboard</t>
        </is>
      </c>
      <c r="E93" s="3" t="inlineStr">
        <is>
          <t>P2</t>
        </is>
      </c>
      <c r="F93" s="3" t="inlineStr">
        <is>
          <t>Review **Tickers Tested** metric.</t>
        </is>
      </c>
      <c r="G93" s="3" t="inlineStr">
        <is>
          <t>Unique ticker count displayed.</t>
        </is>
      </c>
      <c r="H93" s="3" t="inlineStr">
        <is>
          <t>— Not tested</t>
        </is>
      </c>
      <c r="I93" s="3" t="inlineStr">
        <is>
          <t>— Not tested</t>
        </is>
      </c>
      <c r="J93" s="3" t="inlineStr">
        <is>
          <t>— Not tested</t>
        </is>
      </c>
    </row>
    <row r="94">
      <c r="A94" s="7" t="n">
        <v>93</v>
      </c>
      <c r="B94" s="7" t="inlineStr">
        <is>
          <t>2 — Sessions</t>
        </is>
      </c>
      <c r="C94" s="7" t="n">
        <v>12</v>
      </c>
      <c r="D94" s="7" t="inlineStr">
        <is>
          <t>Sessions — Filters, Search, Sort</t>
        </is>
      </c>
      <c r="E94" s="3" t="inlineStr">
        <is>
          <t>P0</t>
        </is>
      </c>
      <c r="F94" s="3" t="inlineStr">
        <is>
          <t>Click filter tab **All**.</t>
        </is>
      </c>
      <c r="G94" s="3" t="inlineStr">
        <is>
          <t>Shows every session; badge count correct.</t>
        </is>
      </c>
      <c r="H94" s="3" t="inlineStr">
        <is>
          <t>— Not tested</t>
        </is>
      </c>
      <c r="I94" s="3" t="inlineStr">
        <is>
          <t>— Not tested</t>
        </is>
      </c>
      <c r="J94" s="3" t="inlineStr">
        <is>
          <t>— Not tested</t>
        </is>
      </c>
    </row>
    <row r="95">
      <c r="A95" s="7" t="n">
        <v>94</v>
      </c>
      <c r="B95" s="7" t="inlineStr">
        <is>
          <t>2 — Sessions</t>
        </is>
      </c>
      <c r="C95" s="7" t="n">
        <v>12</v>
      </c>
      <c r="D95" s="7" t="inlineStr">
        <is>
          <t>Sessions — Filters, Search, Sort</t>
        </is>
      </c>
      <c r="E95" s="3" t="inlineStr">
        <is>
          <t>P1</t>
        </is>
      </c>
      <c r="F95" s="3" t="inlineStr">
        <is>
          <t>Click **Not Started**.</t>
        </is>
      </c>
      <c r="G95" s="3" t="inlineStr">
        <is>
          <t>Only progress=0 sessions shown.</t>
        </is>
      </c>
      <c r="H95" s="3" t="inlineStr">
        <is>
          <t>— Not tested</t>
        </is>
      </c>
      <c r="I95" s="3" t="inlineStr">
        <is>
          <t>— Not tested</t>
        </is>
      </c>
      <c r="J95" s="3" t="inlineStr">
        <is>
          <t>— Not tested</t>
        </is>
      </c>
    </row>
    <row r="96">
      <c r="A96" s="7" t="n">
        <v>95</v>
      </c>
      <c r="B96" s="7" t="inlineStr">
        <is>
          <t>2 — Sessions</t>
        </is>
      </c>
      <c r="C96" s="7" t="n">
        <v>12</v>
      </c>
      <c r="D96" s="7" t="inlineStr">
        <is>
          <t>Sessions — Filters, Search, Sort</t>
        </is>
      </c>
      <c r="E96" s="3" t="inlineStr">
        <is>
          <t>P1</t>
        </is>
      </c>
      <c r="F96" s="3" t="inlineStr">
        <is>
          <t>Click **Active**.</t>
        </is>
      </c>
      <c r="G96" s="3" t="inlineStr">
        <is>
          <t>Only in-progress sessions shown.</t>
        </is>
      </c>
      <c r="H96" s="3" t="inlineStr">
        <is>
          <t>— Not tested</t>
        </is>
      </c>
      <c r="I96" s="3" t="inlineStr">
        <is>
          <t>— Not tested</t>
        </is>
      </c>
      <c r="J96" s="3" t="inlineStr">
        <is>
          <t>— Not tested</t>
        </is>
      </c>
    </row>
    <row r="97">
      <c r="A97" s="7" t="n">
        <v>96</v>
      </c>
      <c r="B97" s="7" t="inlineStr">
        <is>
          <t>2 — Sessions</t>
        </is>
      </c>
      <c r="C97" s="7" t="n">
        <v>12</v>
      </c>
      <c r="D97" s="7" t="inlineStr">
        <is>
          <t>Sessions — Filters, Search, Sort</t>
        </is>
      </c>
      <c r="E97" s="3" t="inlineStr">
        <is>
          <t>P1</t>
        </is>
      </c>
      <c r="F97" s="3" t="inlineStr">
        <is>
          <t>Click **Completed**.</t>
        </is>
      </c>
      <c r="G97" s="3" t="inlineStr">
        <is>
          <t>Only finished sessions shown.</t>
        </is>
      </c>
      <c r="H97" s="3" t="inlineStr">
        <is>
          <t>— Not tested</t>
        </is>
      </c>
      <c r="I97" s="3" t="inlineStr">
        <is>
          <t>— Not tested</t>
        </is>
      </c>
      <c r="J97" s="3" t="inlineStr">
        <is>
          <t>— Not tested</t>
        </is>
      </c>
    </row>
    <row r="98">
      <c r="A98" s="7" t="n">
        <v>97</v>
      </c>
      <c r="B98" s="7" t="inlineStr">
        <is>
          <t>2 — Sessions</t>
        </is>
      </c>
      <c r="C98" s="7" t="n">
        <v>12</v>
      </c>
      <c r="D98" s="7" t="inlineStr">
        <is>
          <t>Sessions — Filters, Search, Sort</t>
        </is>
      </c>
      <c r="E98" s="3" t="inlineStr">
        <is>
          <t>P1</t>
        </is>
      </c>
      <c r="F98" s="3" t="inlineStr">
        <is>
          <t>Click **Standard**.</t>
        </is>
      </c>
      <c r="G98" s="3" t="inlineStr">
        <is>
          <t>Only standard backtest sessions.</t>
        </is>
      </c>
      <c r="H98" s="3" t="inlineStr">
        <is>
          <t>— Not tested</t>
        </is>
      </c>
      <c r="I98" s="3" t="inlineStr">
        <is>
          <t>— Not tested</t>
        </is>
      </c>
      <c r="J98" s="3" t="inlineStr">
        <is>
          <t>— Not tested</t>
        </is>
      </c>
    </row>
    <row r="99">
      <c r="A99" s="7" t="n">
        <v>98</v>
      </c>
      <c r="B99" s="7" t="inlineStr">
        <is>
          <t>2 — Sessions</t>
        </is>
      </c>
      <c r="C99" s="7" t="n">
        <v>12</v>
      </c>
      <c r="D99" s="7" t="inlineStr">
        <is>
          <t>Sessions — Filters, Search, Sort</t>
        </is>
      </c>
      <c r="E99" s="3" t="inlineStr">
        <is>
          <t>P1</t>
        </is>
      </c>
      <c r="F99" s="3" t="inlineStr">
        <is>
          <t>Click **Prop Firm**.</t>
        </is>
      </c>
      <c r="G99" s="3" t="inlineStr">
        <is>
          <t>Only prop mode sessions.</t>
        </is>
      </c>
      <c r="H99" s="3" t="inlineStr">
        <is>
          <t>— Not tested</t>
        </is>
      </c>
      <c r="I99" s="3" t="inlineStr">
        <is>
          <t>— Not tested</t>
        </is>
      </c>
      <c r="J99" s="3" t="inlineStr">
        <is>
          <t>— Not tested</t>
        </is>
      </c>
    </row>
    <row r="100">
      <c r="A100" s="7" t="n">
        <v>99</v>
      </c>
      <c r="B100" s="7" t="inlineStr">
        <is>
          <t>2 — Sessions</t>
        </is>
      </c>
      <c r="C100" s="7" t="n">
        <v>12</v>
      </c>
      <c r="D100" s="7" t="inlineStr">
        <is>
          <t>Sessions — Filters, Search, Sort</t>
        </is>
      </c>
      <c r="E100" s="3" t="inlineStr">
        <is>
          <t>P1</t>
        </is>
      </c>
      <c r="F100" s="3" t="inlineStr">
        <is>
          <t>Click **Journal**.</t>
        </is>
      </c>
      <c r="G100" s="3" t="inlineStr">
        <is>
          <t>Only journal sessions shown.</t>
        </is>
      </c>
      <c r="H100" s="3" t="inlineStr">
        <is>
          <t>— Not tested</t>
        </is>
      </c>
      <c r="I100" s="3" t="inlineStr">
        <is>
          <t>— Not tested</t>
        </is>
      </c>
      <c r="J100" s="3" t="inlineStr">
        <is>
          <t>— Not tested</t>
        </is>
      </c>
    </row>
    <row r="101">
      <c r="A101" s="7" t="n">
        <v>100</v>
      </c>
      <c r="B101" s="7" t="inlineStr">
        <is>
          <t>2 — Sessions</t>
        </is>
      </c>
      <c r="C101" s="7" t="n">
        <v>12</v>
      </c>
      <c r="D101" s="7" t="inlineStr">
        <is>
          <t>Sessions — Filters, Search, Sort</t>
        </is>
      </c>
      <c r="E101" s="3" t="inlineStr">
        <is>
          <t>P1</t>
        </is>
      </c>
      <c r="F101" s="3" t="inlineStr">
        <is>
          <t>Toggle **Cards** vs **Rows** layout.</t>
        </is>
      </c>
      <c r="G101" s="3" t="inlineStr">
        <is>
          <t>Layout switches; data consistent.</t>
        </is>
      </c>
      <c r="H101" s="3" t="inlineStr">
        <is>
          <t>— Not tested</t>
        </is>
      </c>
      <c r="I101" s="3" t="inlineStr">
        <is>
          <t>— Not tested</t>
        </is>
      </c>
      <c r="J101" s="3" t="inlineStr">
        <is>
          <t>— Not tested</t>
        </is>
      </c>
    </row>
    <row r="102">
      <c r="A102" s="7" t="n">
        <v>101</v>
      </c>
      <c r="B102" s="7" t="inlineStr">
        <is>
          <t>2 — Sessions</t>
        </is>
      </c>
      <c r="C102" s="7" t="n">
        <v>12</v>
      </c>
      <c r="D102" s="7" t="inlineStr">
        <is>
          <t>Sessions — Filters, Search, Sort</t>
        </is>
      </c>
      <c r="E102" s="3" t="inlineStr">
        <is>
          <t>P1</t>
        </is>
      </c>
      <c r="F102" s="3" t="inlineStr">
        <is>
          <t>In Cards view: change **sort** dropdown (Name, Strategy, Date Range, Balance, Net P&amp;L, Win Rate, Avg R:R, Trades, Progress).</t>
        </is>
      </c>
      <c r="G102" s="3" t="inlineStr">
        <is>
          <t>List re-orders correctly.</t>
        </is>
      </c>
      <c r="H102" s="3" t="inlineStr">
        <is>
          <t>— Not tested</t>
        </is>
      </c>
      <c r="I102" s="3" t="inlineStr">
        <is>
          <t>— Not tested</t>
        </is>
      </c>
      <c r="J102" s="3" t="inlineStr">
        <is>
          <t>— Not tested</t>
        </is>
      </c>
    </row>
    <row r="103">
      <c r="A103" s="7" t="n">
        <v>102</v>
      </c>
      <c r="B103" s="7" t="inlineStr">
        <is>
          <t>2 — Sessions</t>
        </is>
      </c>
      <c r="C103" s="7" t="n">
        <v>12</v>
      </c>
      <c r="D103" s="7" t="inlineStr">
        <is>
          <t>Sessions — Filters, Search, Sort</t>
        </is>
      </c>
      <c r="E103" s="3" t="inlineStr">
        <is>
          <t>P1</t>
        </is>
      </c>
      <c r="F103" s="3" t="inlineStr">
        <is>
          <t>Toggle sort **ascending/descending**.</t>
        </is>
      </c>
      <c r="G103" s="3" t="inlineStr">
        <is>
          <t>Order reverses.</t>
        </is>
      </c>
      <c r="H103" s="3" t="inlineStr">
        <is>
          <t>— Not tested</t>
        </is>
      </c>
      <c r="I103" s="3" t="inlineStr">
        <is>
          <t>— Not tested</t>
        </is>
      </c>
      <c r="J103" s="3" t="inlineStr">
        <is>
          <t>— Not tested</t>
        </is>
      </c>
    </row>
    <row r="104">
      <c r="A104" s="7" t="n">
        <v>103</v>
      </c>
      <c r="B104" s="7" t="inlineStr">
        <is>
          <t>2 — Sessions</t>
        </is>
      </c>
      <c r="C104" s="7" t="n">
        <v>12</v>
      </c>
      <c r="D104" s="7" t="inlineStr">
        <is>
          <t>Sessions — Filters, Search, Sort</t>
        </is>
      </c>
      <c r="E104" s="3" t="inlineStr">
        <is>
          <t>P1</t>
        </is>
      </c>
      <c r="F104" s="3" t="inlineStr">
        <is>
          <t>In Rows view: click column headers to sort.</t>
        </is>
      </c>
      <c r="G104" s="3" t="inlineStr">
        <is>
          <t>Column sort works.</t>
        </is>
      </c>
      <c r="H104" s="3" t="inlineStr">
        <is>
          <t>— Not tested</t>
        </is>
      </c>
      <c r="I104" s="3" t="inlineStr">
        <is>
          <t>— Not tested</t>
        </is>
      </c>
      <c r="J104" s="3" t="inlineStr">
        <is>
          <t>— Not tested</t>
        </is>
      </c>
    </row>
    <row r="105">
      <c r="A105" s="7" t="n">
        <v>104</v>
      </c>
      <c r="B105" s="7" t="inlineStr">
        <is>
          <t>2 — Sessions</t>
        </is>
      </c>
      <c r="C105" s="7" t="n">
        <v>12</v>
      </c>
      <c r="D105" s="7" t="inlineStr">
        <is>
          <t>Sessions — Filters, Search, Sort</t>
        </is>
      </c>
      <c r="E105" s="3" t="inlineStr">
        <is>
          <t>P1</t>
        </is>
      </c>
      <c r="F105" s="3" t="inlineStr">
        <is>
          <t>Type in **search** box (session name, strategy, ticker).</t>
        </is>
      </c>
      <c r="G105" s="3" t="inlineStr">
        <is>
          <t>List filters live.</t>
        </is>
      </c>
      <c r="H105" s="3" t="inlineStr">
        <is>
          <t>— Not tested</t>
        </is>
      </c>
      <c r="I105" s="3" t="inlineStr">
        <is>
          <t>— Not tested</t>
        </is>
      </c>
      <c r="J105" s="3" t="inlineStr">
        <is>
          <t>— Not tested</t>
        </is>
      </c>
    </row>
    <row r="106">
      <c r="A106" s="7" t="n">
        <v>105</v>
      </c>
      <c r="B106" s="7" t="inlineStr">
        <is>
          <t>2 — Sessions</t>
        </is>
      </c>
      <c r="C106" s="7" t="n">
        <v>12</v>
      </c>
      <c r="D106" s="7" t="inlineStr">
        <is>
          <t>Sessions — Filters, Search, Sort</t>
        </is>
      </c>
      <c r="E106" s="3" t="inlineStr">
        <is>
          <t>P2</t>
        </is>
      </c>
      <c r="F106" s="3" t="inlineStr">
        <is>
          <t>Press **Escape** in search.</t>
        </is>
      </c>
      <c r="G106" s="3" t="inlineStr">
        <is>
          <t>Search clears (if implemented).</t>
        </is>
      </c>
      <c r="H106" s="3" t="inlineStr">
        <is>
          <t>— Not tested</t>
        </is>
      </c>
      <c r="I106" s="3" t="inlineStr">
        <is>
          <t>— Not tested</t>
        </is>
      </c>
      <c r="J106" s="3" t="inlineStr">
        <is>
          <t>— Not tested</t>
        </is>
      </c>
    </row>
    <row r="107">
      <c r="A107" s="7" t="n">
        <v>106</v>
      </c>
      <c r="B107" s="7" t="inlineStr">
        <is>
          <t>2 — Sessions</t>
        </is>
      </c>
      <c r="C107" s="7" t="n">
        <v>12</v>
      </c>
      <c r="D107" s="7" t="inlineStr">
        <is>
          <t>Sessions — Filters, Search, Sort</t>
        </is>
      </c>
      <c r="E107" s="3" t="inlineStr">
        <is>
          <t>P2</t>
        </is>
      </c>
      <c r="F107" s="3" t="inlineStr">
        <is>
          <t>Empty search with no sessions: verify **Create New Session** CTA.</t>
        </is>
      </c>
      <c r="G107" s="3" t="inlineStr">
        <is>
          <t>Empty state displays.</t>
        </is>
      </c>
      <c r="H107" s="3" t="inlineStr">
        <is>
          <t>— Not tested</t>
        </is>
      </c>
      <c r="I107" s="3" t="inlineStr">
        <is>
          <t>— Not tested</t>
        </is>
      </c>
      <c r="J107" s="3" t="inlineStr">
        <is>
          <t>— Not tested</t>
        </is>
      </c>
    </row>
    <row r="108">
      <c r="A108" s="7" t="n">
        <v>107</v>
      </c>
      <c r="B108" s="7" t="inlineStr">
        <is>
          <t>2 — Sessions</t>
        </is>
      </c>
      <c r="C108" s="7" t="n">
        <v>13</v>
      </c>
      <c r="D108" s="7" t="inlineStr">
        <is>
          <t>Sessions — Card/Row Content &amp; Actions</t>
        </is>
      </c>
      <c r="E108" s="3" t="inlineStr">
        <is>
          <t>P0</t>
        </is>
      </c>
      <c r="F108" s="3" t="inlineStr">
        <is>
          <t>On a session card: verify name, created date, strategy name.</t>
        </is>
      </c>
      <c r="G108" s="3" t="inlineStr">
        <is>
          <t>Fields display correctly.</t>
        </is>
      </c>
      <c r="H108" s="3" t="inlineStr">
        <is>
          <t>— Not tested</t>
        </is>
      </c>
      <c r="I108" s="3" t="inlineStr">
        <is>
          <t>— Not tested</t>
        </is>
      </c>
      <c r="J108" s="3" t="inlineStr">
        <is>
          <t>— Not tested</t>
        </is>
      </c>
    </row>
    <row r="109">
      <c r="A109" s="7" t="n">
        <v>108</v>
      </c>
      <c r="B109" s="7" t="inlineStr">
        <is>
          <t>2 — Sessions</t>
        </is>
      </c>
      <c r="C109" s="7" t="n">
        <v>13</v>
      </c>
      <c r="D109" s="7" t="inlineStr">
        <is>
          <t>Sessions — Card/Row Content &amp; Actions</t>
        </is>
      </c>
      <c r="E109" s="3" t="inlineStr">
        <is>
          <t>P2</t>
        </is>
      </c>
      <c r="F109" s="3" t="inlineStr">
        <is>
          <t>Click **(i)** info icon next to strategy name.</t>
        </is>
      </c>
      <c r="G109" s="3" t="inlineStr">
        <is>
          <t>Strategy description tooltip/popup appears.</t>
        </is>
      </c>
      <c r="H109" s="3" t="inlineStr">
        <is>
          <t>— Not tested</t>
        </is>
      </c>
      <c r="I109" s="3" t="inlineStr">
        <is>
          <t>— Not tested</t>
        </is>
      </c>
      <c r="J109" s="3" t="inlineStr">
        <is>
          <t>— Not tested</t>
        </is>
      </c>
    </row>
    <row r="110">
      <c r="A110" s="7" t="n">
        <v>109</v>
      </c>
      <c r="B110" s="7" t="inlineStr">
        <is>
          <t>2 — Sessions</t>
        </is>
      </c>
      <c r="C110" s="7" t="n">
        <v>13</v>
      </c>
      <c r="D110" s="7" t="inlineStr">
        <is>
          <t>Sessions — Card/Row Content &amp; Actions</t>
        </is>
      </c>
      <c r="E110" s="3" t="inlineStr">
        <is>
          <t>P1</t>
        </is>
      </c>
      <c r="F110" s="3" t="inlineStr">
        <is>
          <t>Verify mode badge: Standard / Prop Firm / Journal colors.</t>
        </is>
      </c>
      <c r="G110" s="3" t="inlineStr">
        <is>
          <t>Correct color per mode.</t>
        </is>
      </c>
      <c r="H110" s="3" t="inlineStr">
        <is>
          <t>— Not tested</t>
        </is>
      </c>
      <c r="I110" s="3" t="inlineStr">
        <is>
          <t>— Not tested</t>
        </is>
      </c>
      <c r="J110" s="3" t="inlineStr">
        <is>
          <t>— Not tested</t>
        </is>
      </c>
    </row>
    <row r="111">
      <c r="A111" s="7" t="n">
        <v>110</v>
      </c>
      <c r="B111" s="7" t="inlineStr">
        <is>
          <t>2 — Sessions</t>
        </is>
      </c>
      <c r="C111" s="7" t="n">
        <v>13</v>
      </c>
      <c r="D111" s="7" t="inlineStr">
        <is>
          <t>Sessions — Card/Row Content &amp; Actions</t>
        </is>
      </c>
      <c r="E111" s="3" t="inlineStr">
        <is>
          <t>P1</t>
        </is>
      </c>
      <c r="F111" s="3" t="inlineStr">
        <is>
          <t>Verify asset class, symbols, date range timeline.</t>
        </is>
      </c>
      <c r="G111" s="3" t="inlineStr">
        <is>
          <t>Date range bar or text correct.</t>
        </is>
      </c>
      <c r="H111" s="3" t="inlineStr">
        <is>
          <t>— Not tested</t>
        </is>
      </c>
      <c r="I111" s="3" t="inlineStr">
        <is>
          <t>— Not tested</t>
        </is>
      </c>
      <c r="J111" s="3" t="inlineStr">
        <is>
          <t>— Not tested</t>
        </is>
      </c>
    </row>
    <row r="112">
      <c r="A112" s="7" t="n">
        <v>111</v>
      </c>
      <c r="B112" s="7" t="inlineStr">
        <is>
          <t>2 — Sessions</t>
        </is>
      </c>
      <c r="C112" s="7" t="n">
        <v>13</v>
      </c>
      <c r="D112" s="7" t="inlineStr">
        <is>
          <t>Sessions — Card/Row Content &amp; Actions</t>
        </is>
      </c>
      <c r="E112" s="3" t="inlineStr">
        <is>
          <t>P2</t>
        </is>
      </c>
      <c r="F112" s="3" t="inlineStr">
        <is>
          <t>Verify options chips: Rollback on/off, Costs on/off.</t>
        </is>
      </c>
      <c r="G112" s="3" t="inlineStr">
        <is>
          <t>Match session settings.</t>
        </is>
      </c>
      <c r="H112" s="3" t="inlineStr">
        <is>
          <t>— Not tested</t>
        </is>
      </c>
      <c r="I112" s="3" t="inlineStr">
        <is>
          <t>— Not tested</t>
        </is>
      </c>
      <c r="J112" s="3" t="inlineStr">
        <is>
          <t>— Not tested</t>
        </is>
      </c>
    </row>
    <row r="113">
      <c r="A113" s="7" t="n">
        <v>112</v>
      </c>
      <c r="B113" s="7" t="inlineStr">
        <is>
          <t>2 — Sessions</t>
        </is>
      </c>
      <c r="C113" s="7" t="n">
        <v>13</v>
      </c>
      <c r="D113" s="7" t="inlineStr">
        <is>
          <t>Sessions — Card/Row Content &amp; Actions</t>
        </is>
      </c>
      <c r="E113" s="3" t="inlineStr">
        <is>
          <t>P0</t>
        </is>
      </c>
      <c r="F113" s="3" t="inlineStr">
        <is>
          <t>Verify stats: Balance, P&amp;L, Win %, R:R, Trades, Progress bar.</t>
        </is>
      </c>
      <c r="G113" s="3" t="inlineStr">
        <is>
          <t>Numbers reasonable vs session state.</t>
        </is>
      </c>
      <c r="H113" s="3" t="inlineStr">
        <is>
          <t>— Not tested</t>
        </is>
      </c>
      <c r="I113" s="3" t="inlineStr">
        <is>
          <t>— Not tested</t>
        </is>
      </c>
      <c r="J113" s="3" t="inlineStr">
        <is>
          <t>— Not tested</t>
        </is>
      </c>
    </row>
    <row r="114">
      <c r="A114" s="7" t="n">
        <v>113</v>
      </c>
      <c r="B114" s="7" t="inlineStr">
        <is>
          <t>2 — Sessions</t>
        </is>
      </c>
      <c r="C114" s="7" t="n">
        <v>13</v>
      </c>
      <c r="D114" s="7" t="inlineStr">
        <is>
          <t>Sessions — Card/Row Content &amp; Actions</t>
        </is>
      </c>
      <c r="E114" s="3" t="inlineStr">
        <is>
          <t>P0</t>
        </is>
      </c>
      <c r="F114" s="3" t="inlineStr">
        <is>
          <t>Click **Resume (▶)** on not-started or active session.</t>
        </is>
      </c>
      <c r="G114" s="3" t="inlineStr">
        <is>
          <t>Chart/backtest or journal opens.</t>
        </is>
      </c>
      <c r="H114" s="3" t="inlineStr">
        <is>
          <t>— Not tested</t>
        </is>
      </c>
      <c r="I114" s="3" t="inlineStr">
        <is>
          <t>— Not tested</t>
        </is>
      </c>
      <c r="J114" s="3" t="inlineStr">
        <is>
          <t>— Not tested</t>
        </is>
      </c>
    </row>
    <row r="115">
      <c r="A115" s="7" t="n">
        <v>114</v>
      </c>
      <c r="B115" s="7" t="inlineStr">
        <is>
          <t>2 — Sessions</t>
        </is>
      </c>
      <c r="C115" s="7" t="n">
        <v>13</v>
      </c>
      <c r="D115" s="7" t="inlineStr">
        <is>
          <t>Sessions — Card/Row Content &amp; Actions</t>
        </is>
      </c>
      <c r="E115" s="3" t="inlineStr">
        <is>
          <t>P1</t>
        </is>
      </c>
      <c r="F115" s="3" t="inlineStr">
        <is>
          <t>Click **Dashboard (grid)** icon.</t>
        </is>
      </c>
      <c r="G115" s="3" t="inlineStr">
        <is>
          <t>Session performance dashboard opens.</t>
        </is>
      </c>
      <c r="H115" s="3" t="inlineStr">
        <is>
          <t>— Not tested</t>
        </is>
      </c>
      <c r="I115" s="3" t="inlineStr">
        <is>
          <t>— Not tested</t>
        </is>
      </c>
      <c r="J115" s="3" t="inlineStr">
        <is>
          <t>— Not tested</t>
        </is>
      </c>
    </row>
    <row r="116">
      <c r="A116" s="7" t="n">
        <v>115</v>
      </c>
      <c r="B116" s="7" t="inlineStr">
        <is>
          <t>2 — Sessions</t>
        </is>
      </c>
      <c r="C116" s="7" t="n">
        <v>13</v>
      </c>
      <c r="D116" s="7" t="inlineStr">
        <is>
          <t>Sessions — Card/Row Content &amp; Actions</t>
        </is>
      </c>
      <c r="E116" s="3" t="inlineStr">
        <is>
          <t>P0</t>
        </is>
      </c>
      <c r="F116" s="3" t="inlineStr">
        <is>
          <t>Open **⋯** menu on a **not-started** backtest session.</t>
        </is>
      </c>
      <c r="G116" s="3" t="inlineStr">
        <is>
          <t>Start, Dashboard, Edit, Duplicate, Delete available.</t>
        </is>
      </c>
      <c r="H116" s="3" t="inlineStr">
        <is>
          <t>— Not tested</t>
        </is>
      </c>
      <c r="I116" s="3" t="inlineStr">
        <is>
          <t>— Not tested</t>
        </is>
      </c>
      <c r="J116" s="3" t="inlineStr">
        <is>
          <t>— Not tested</t>
        </is>
      </c>
    </row>
    <row r="117">
      <c r="A117" s="7" t="n">
        <v>116</v>
      </c>
      <c r="B117" s="7" t="inlineStr">
        <is>
          <t>2 — Sessions</t>
        </is>
      </c>
      <c r="C117" s="7" t="n">
        <v>13</v>
      </c>
      <c r="D117" s="7" t="inlineStr">
        <is>
          <t>Sessions — Card/Row Content &amp; Actions</t>
        </is>
      </c>
      <c r="E117" s="3" t="inlineStr">
        <is>
          <t>P0</t>
        </is>
      </c>
      <c r="F117" s="3" t="inlineStr">
        <is>
          <t>Choose **Edit** on not-started session.</t>
        </is>
      </c>
      <c r="G117" s="3" t="inlineStr">
        <is>
          <t>Add Session modal opens in edit mode with pre-filled fields.</t>
        </is>
      </c>
      <c r="H117" s="3" t="inlineStr">
        <is>
          <t>— Not tested</t>
        </is>
      </c>
      <c r="I117" s="3" t="inlineStr">
        <is>
          <t>— Not tested</t>
        </is>
      </c>
      <c r="J117" s="3" t="inlineStr">
        <is>
          <t>— Not tested</t>
        </is>
      </c>
    </row>
    <row r="118">
      <c r="A118" s="7" t="n">
        <v>117</v>
      </c>
      <c r="B118" s="7" t="inlineStr">
        <is>
          <t>2 — Sessions</t>
        </is>
      </c>
      <c r="C118" s="7" t="n">
        <v>13</v>
      </c>
      <c r="D118" s="7" t="inlineStr">
        <is>
          <t>Sessions — Card/Row Content &amp; Actions</t>
        </is>
      </c>
      <c r="E118" s="3" t="inlineStr">
        <is>
          <t>P0</t>
        </is>
      </c>
      <c r="F118" s="3" t="inlineStr">
        <is>
          <t>Choose **Edit** on **started** session (progress &gt; 0).</t>
        </is>
      </c>
      <c r="G118" s="3" t="inlineStr">
        <is>
          <t>Edit is **disabled** with explanation.</t>
        </is>
      </c>
      <c r="H118" s="3" t="inlineStr">
        <is>
          <t>— Not tested</t>
        </is>
      </c>
      <c r="I118" s="3" t="inlineStr">
        <is>
          <t>— Not tested</t>
        </is>
      </c>
      <c r="J118" s="3" t="inlineStr">
        <is>
          <t>— Not tested</t>
        </is>
      </c>
    </row>
    <row r="119">
      <c r="A119" s="7" t="n">
        <v>118</v>
      </c>
      <c r="B119" s="7" t="inlineStr">
        <is>
          <t>2 — Sessions</t>
        </is>
      </c>
      <c r="C119" s="7" t="n">
        <v>13</v>
      </c>
      <c r="D119" s="7" t="inlineStr">
        <is>
          <t>Sessions — Card/Row Content &amp; Actions</t>
        </is>
      </c>
      <c r="E119" s="3" t="inlineStr">
        <is>
          <t>P1</t>
        </is>
      </c>
      <c r="F119" s="3" t="inlineStr">
        <is>
          <t>Choose **Duplicate**.</t>
        </is>
      </c>
      <c r="G119" s="3" t="inlineStr">
        <is>
          <t>New session copy created.</t>
        </is>
      </c>
      <c r="H119" s="3" t="inlineStr">
        <is>
          <t>— Not tested</t>
        </is>
      </c>
      <c r="I119" s="3" t="inlineStr">
        <is>
          <t>— Not tested</t>
        </is>
      </c>
      <c r="J119" s="3" t="inlineStr">
        <is>
          <t>— Not tested</t>
        </is>
      </c>
    </row>
    <row r="120">
      <c r="A120" s="7" t="n">
        <v>119</v>
      </c>
      <c r="B120" s="7" t="inlineStr">
        <is>
          <t>2 — Sessions</t>
        </is>
      </c>
      <c r="C120" s="7" t="n">
        <v>13</v>
      </c>
      <c r="D120" s="7" t="inlineStr">
        <is>
          <t>Sessions — Card/Row Content &amp; Actions</t>
        </is>
      </c>
      <c r="E120" s="3" t="inlineStr">
        <is>
          <t>P1</t>
        </is>
      </c>
      <c r="F120" s="3" t="inlineStr">
        <is>
          <t>Choose **Delete** → confirm.</t>
        </is>
      </c>
      <c r="G120" s="3" t="inlineStr">
        <is>
          <t>Session removed from list.</t>
        </is>
      </c>
      <c r="H120" s="3" t="inlineStr">
        <is>
          <t>— Not tested</t>
        </is>
      </c>
      <c r="I120" s="3" t="inlineStr">
        <is>
          <t>— Not tested</t>
        </is>
      </c>
      <c r="J120" s="3" t="inlineStr">
        <is>
          <t>— Not tested</t>
        </is>
      </c>
    </row>
    <row r="121">
      <c r="A121" s="7" t="n">
        <v>120</v>
      </c>
      <c r="B121" s="7" t="inlineStr">
        <is>
          <t>2 — Sessions</t>
        </is>
      </c>
      <c r="C121" s="7" t="n">
        <v>13</v>
      </c>
      <c r="D121" s="7" t="inlineStr">
        <is>
          <t>Sessions — Card/Row Content &amp; Actions</t>
        </is>
      </c>
      <c r="E121" s="3" t="inlineStr">
        <is>
          <t>P1</t>
        </is>
      </c>
      <c r="F121" s="3" t="inlineStr">
        <is>
          <t>On **Journal** session ⋯ menu: Trades, Add Trade, Dashboard, Edit Journal, Delete.</t>
        </is>
      </c>
      <c r="G121" s="3" t="inlineStr">
        <is>
          <t>Journal-specific actions present.</t>
        </is>
      </c>
      <c r="H121" s="3" t="inlineStr">
        <is>
          <t>— Not tested</t>
        </is>
      </c>
      <c r="I121" s="3" t="inlineStr">
        <is>
          <t>— Not tested</t>
        </is>
      </c>
      <c r="J121" s="3" t="inlineStr">
        <is>
          <t>— Not tested</t>
        </is>
      </c>
    </row>
    <row r="122">
      <c r="A122" s="7" t="n">
        <v>121</v>
      </c>
      <c r="B122" s="7" t="inlineStr">
        <is>
          <t>2 — Sessions</t>
        </is>
      </c>
      <c r="C122" s="7" t="n">
        <v>14</v>
      </c>
      <c r="D122" s="7" t="inlineStr">
        <is>
          <t>New Session — Kind Picker (Backtest vs Journal)</t>
        </is>
      </c>
      <c r="E122" s="3" t="inlineStr">
        <is>
          <t>P0</t>
        </is>
      </c>
      <c r="F122" s="3" t="inlineStr">
        <is>
          <t>Click **New Session**.</t>
        </is>
      </c>
      <c r="G122" s="3" t="inlineStr">
        <is>
          <t>Step 1 picker opens: Backtest vs Journal.</t>
        </is>
      </c>
      <c r="H122" s="3" t="inlineStr">
        <is>
          <t>— Not tested</t>
        </is>
      </c>
      <c r="I122" s="3" t="inlineStr">
        <is>
          <t>— Not tested</t>
        </is>
      </c>
      <c r="J122" s="3" t="inlineStr">
        <is>
          <t>— Not tested</t>
        </is>
      </c>
    </row>
    <row r="123">
      <c r="A123" s="7" t="n">
        <v>122</v>
      </c>
      <c r="B123" s="7" t="inlineStr">
        <is>
          <t>2 — Sessions</t>
        </is>
      </c>
      <c r="C123" s="7" t="n">
        <v>14</v>
      </c>
      <c r="D123" s="7" t="inlineStr">
        <is>
          <t>New Session — Kind Picker (Backtest vs Journal)</t>
        </is>
      </c>
      <c r="E123" s="3" t="inlineStr">
        <is>
          <t>P0</t>
        </is>
      </c>
      <c r="F123" s="3" t="inlineStr">
        <is>
          <t>Choose **Backtest**.</t>
        </is>
      </c>
      <c r="G123" s="3" t="inlineStr">
        <is>
          <t>Backtest New Session modal opens.</t>
        </is>
      </c>
      <c r="H123" s="3" t="inlineStr">
        <is>
          <t>— Not tested</t>
        </is>
      </c>
      <c r="I123" s="3" t="inlineStr">
        <is>
          <t>— Not tested</t>
        </is>
      </c>
      <c r="J123" s="3" t="inlineStr">
        <is>
          <t>— Not tested</t>
        </is>
      </c>
    </row>
    <row r="124">
      <c r="A124" s="7" t="n">
        <v>123</v>
      </c>
      <c r="B124" s="7" t="inlineStr">
        <is>
          <t>2 — Sessions</t>
        </is>
      </c>
      <c r="C124" s="7" t="n">
        <v>14</v>
      </c>
      <c r="D124" s="7" t="inlineStr">
        <is>
          <t>New Session — Kind Picker (Backtest vs Journal)</t>
        </is>
      </c>
      <c r="E124" s="3" t="inlineStr">
        <is>
          <t>P1</t>
        </is>
      </c>
      <c r="F124" s="3" t="inlineStr">
        <is>
          <t>Close modal; New Session → choose **Journal**.</t>
        </is>
      </c>
      <c r="G124" s="3" t="inlineStr">
        <is>
          <t>Journal type step opens (Real account / Prop firm).</t>
        </is>
      </c>
      <c r="H124" s="3" t="inlineStr">
        <is>
          <t>— Not tested</t>
        </is>
      </c>
      <c r="I124" s="3" t="inlineStr">
        <is>
          <t>— Not tested</t>
        </is>
      </c>
      <c r="J124" s="3" t="inlineStr">
        <is>
          <t>— Not tested</t>
        </is>
      </c>
    </row>
    <row r="125">
      <c r="A125" s="7" t="n">
        <v>124</v>
      </c>
      <c r="B125" s="7" t="inlineStr">
        <is>
          <t>2 — Sessions</t>
        </is>
      </c>
      <c r="C125" s="7" t="n">
        <v>14</v>
      </c>
      <c r="D125" s="7" t="inlineStr">
        <is>
          <t>New Session — Kind Picker (Backtest vs Journal)</t>
        </is>
      </c>
      <c r="E125" s="3" t="inlineStr">
        <is>
          <t>P1</t>
        </is>
      </c>
      <c r="F125" s="3" t="inlineStr">
        <is>
          <t>Select **Real account** or **Prop firm**.</t>
        </is>
      </c>
      <c r="G125" s="3" t="inlineStr">
        <is>
          <t>Proceeds to Add trades method step.</t>
        </is>
      </c>
      <c r="H125" s="3" t="inlineStr">
        <is>
          <t>— Not tested</t>
        </is>
      </c>
      <c r="I125" s="3" t="inlineStr">
        <is>
          <t>— Not tested</t>
        </is>
      </c>
      <c r="J125" s="3" t="inlineStr">
        <is>
          <t>— Not tested</t>
        </is>
      </c>
    </row>
    <row r="126">
      <c r="A126" s="7" t="n">
        <v>125</v>
      </c>
      <c r="B126" s="7" t="inlineStr">
        <is>
          <t>2 — Sessions</t>
        </is>
      </c>
      <c r="C126" s="7" t="n">
        <v>14</v>
      </c>
      <c r="D126" s="7" t="inlineStr">
        <is>
          <t>New Session — Kind Picker (Backtest vs Journal)</t>
        </is>
      </c>
      <c r="E126" s="3" t="inlineStr">
        <is>
          <t>P1</t>
        </is>
      </c>
      <c r="F126" s="3" t="inlineStr">
        <is>
          <t>On Add trades step: **Manual trades**.</t>
        </is>
      </c>
      <c r="G126" s="3" t="inlineStr">
        <is>
          <t>Option selectable (works).</t>
        </is>
      </c>
      <c r="H126" s="3" t="inlineStr">
        <is>
          <t>— Not tested</t>
        </is>
      </c>
      <c r="I126" s="3" t="inlineStr">
        <is>
          <t>— Not tested</t>
        </is>
      </c>
      <c r="J126" s="3" t="inlineStr">
        <is>
          <t>— Not tested</t>
        </is>
      </c>
    </row>
    <row r="127">
      <c r="A127" s="7" t="n">
        <v>126</v>
      </c>
      <c r="B127" s="7" t="inlineStr">
        <is>
          <t>2 — Sessions</t>
        </is>
      </c>
      <c r="C127" s="7" t="n">
        <v>14</v>
      </c>
      <c r="D127" s="7" t="inlineStr">
        <is>
          <t>New Session — Kind Picker (Backtest vs Journal)</t>
        </is>
      </c>
      <c r="E127" s="3" t="inlineStr">
        <is>
          <t>P2</t>
        </is>
      </c>
      <c r="F127" s="3" t="inlineStr">
        <is>
          <t>Verify **CSV import** shows Coming Soon (if labeled).</t>
        </is>
      </c>
      <c r="G127" s="3" t="inlineStr">
        <is>
          <t>Cannot proceed or shows disabled.</t>
        </is>
      </c>
      <c r="H127" s="3" t="inlineStr">
        <is>
          <t>— Not tested</t>
        </is>
      </c>
      <c r="I127" s="3" t="inlineStr">
        <is>
          <t>— Not tested</t>
        </is>
      </c>
      <c r="J127" s="3" t="inlineStr">
        <is>
          <t>— Not tested</t>
        </is>
      </c>
    </row>
    <row r="128">
      <c r="A128" s="7" t="n">
        <v>127</v>
      </c>
      <c r="B128" s="7" t="inlineStr">
        <is>
          <t>2 — Sessions</t>
        </is>
      </c>
      <c r="C128" s="7" t="n">
        <v>14</v>
      </c>
      <c r="D128" s="7" t="inlineStr">
        <is>
          <t>New Session — Kind Picker (Backtest vs Journal)</t>
        </is>
      </c>
      <c r="E128" s="3" t="inlineStr">
        <is>
          <t>P2</t>
        </is>
      </c>
      <c r="F128" s="3" t="inlineStr">
        <is>
          <t>Verify **Link with broker** shows Coming Soon.</t>
        </is>
      </c>
      <c r="G128" s="3" t="inlineStr">
        <is>
          <t>Cannot proceed or shows disabled.</t>
        </is>
      </c>
      <c r="H128" s="3" t="inlineStr">
        <is>
          <t>— Not tested</t>
        </is>
      </c>
      <c r="I128" s="3" t="inlineStr">
        <is>
          <t>— Not tested</t>
        </is>
      </c>
      <c r="J128" s="3" t="inlineStr">
        <is>
          <t>— Not tested</t>
        </is>
      </c>
    </row>
    <row r="129">
      <c r="A129" s="7" t="n">
        <v>128</v>
      </c>
      <c r="B129" s="7" t="inlineStr">
        <is>
          <t>2 — Sessions</t>
        </is>
      </c>
      <c r="C129" s="7" t="n">
        <v>15</v>
      </c>
      <c r="D129" s="7" t="inlineStr">
        <is>
          <t>Add Session Modal — Session Info</t>
        </is>
      </c>
      <c r="E129" s="3" t="inlineStr">
        <is>
          <t>P0</t>
        </is>
      </c>
      <c r="F129" s="3" t="inlineStr">
        <is>
          <t>Open new Backtest session modal.</t>
        </is>
      </c>
      <c r="G129" s="3" t="inlineStr">
        <is>
          <t>Modal title indicates new session.</t>
        </is>
      </c>
      <c r="H129" s="3" t="inlineStr">
        <is>
          <t>— Not tested</t>
        </is>
      </c>
      <c r="I129" s="3" t="inlineStr">
        <is>
          <t>— Not tested</t>
        </is>
      </c>
      <c r="J129" s="3" t="inlineStr">
        <is>
          <t>— Not tested</t>
        </is>
      </c>
    </row>
    <row r="130">
      <c r="A130" s="7" t="n">
        <v>129</v>
      </c>
      <c r="B130" s="7" t="inlineStr">
        <is>
          <t>2 — Sessions</t>
        </is>
      </c>
      <c r="C130" s="7" t="n">
        <v>15</v>
      </c>
      <c r="D130" s="7" t="inlineStr">
        <is>
          <t>Add Session Modal — Session Info</t>
        </is>
      </c>
      <c r="E130" s="3" t="inlineStr">
        <is>
          <t>P0</t>
        </is>
      </c>
      <c r="F130" s="3" t="inlineStr">
        <is>
          <t>**Session name** — leave empty; check Save/Start disabled.</t>
        </is>
      </c>
      <c r="G130" s="3" t="inlineStr">
        <is>
          <t>Buttons disabled until required fields filled.</t>
        </is>
      </c>
      <c r="H130" s="3" t="inlineStr">
        <is>
          <t>— Not tested</t>
        </is>
      </c>
      <c r="I130" s="3" t="inlineStr">
        <is>
          <t>— Not tested</t>
        </is>
      </c>
      <c r="J130" s="3" t="inlineStr">
        <is>
          <t>— Not tested</t>
        </is>
      </c>
    </row>
    <row r="131">
      <c r="A131" s="7" t="n">
        <v>130</v>
      </c>
      <c r="B131" s="7" t="inlineStr">
        <is>
          <t>2 — Sessions</t>
        </is>
      </c>
      <c r="C131" s="7" t="n">
        <v>15</v>
      </c>
      <c r="D131" s="7" t="inlineStr">
        <is>
          <t>Add Session Modal — Session Info</t>
        </is>
      </c>
      <c r="E131" s="3" t="inlineStr">
        <is>
          <t>P0</t>
        </is>
      </c>
      <c r="F131" s="3" t="inlineStr">
        <is>
          <t>Enter session name.</t>
        </is>
      </c>
      <c r="G131" s="3" t="inlineStr">
        <is>
          <t>Name field accepts text.</t>
        </is>
      </c>
      <c r="H131" s="3" t="inlineStr">
        <is>
          <t>— Not tested</t>
        </is>
      </c>
      <c r="I131" s="3" t="inlineStr">
        <is>
          <t>— Not tested</t>
        </is>
      </c>
      <c r="J131" s="3" t="inlineStr">
        <is>
          <t>— Not tested</t>
        </is>
      </c>
    </row>
    <row r="132">
      <c r="A132" s="7" t="n">
        <v>131</v>
      </c>
      <c r="B132" s="7" t="inlineStr">
        <is>
          <t>2 — Sessions</t>
        </is>
      </c>
      <c r="C132" s="7" t="n">
        <v>15</v>
      </c>
      <c r="D132" s="7" t="inlineStr">
        <is>
          <t>Add Session Modal — Session Info</t>
        </is>
      </c>
      <c r="E132" s="3" t="inlineStr">
        <is>
          <t>P0</t>
        </is>
      </c>
      <c r="F132" s="3" t="inlineStr">
        <is>
          <t>**Strategy** dropdown — open list.</t>
        </is>
      </c>
      <c r="G132" s="3" t="inlineStr">
        <is>
          <t>Shows My Strategies + None option.</t>
        </is>
      </c>
      <c r="H132" s="3" t="inlineStr">
        <is>
          <t>— Not tested</t>
        </is>
      </c>
      <c r="I132" s="3" t="inlineStr">
        <is>
          <t>— Not tested</t>
        </is>
      </c>
      <c r="J132" s="3" t="inlineStr">
        <is>
          <t>— Not tested</t>
        </is>
      </c>
    </row>
    <row r="133">
      <c r="A133" s="7" t="n">
        <v>132</v>
      </c>
      <c r="B133" s="7" t="inlineStr">
        <is>
          <t>2 — Sessions</t>
        </is>
      </c>
      <c r="C133" s="7" t="n">
        <v>15</v>
      </c>
      <c r="D133" s="7" t="inlineStr">
        <is>
          <t>Add Session Modal — Session Info</t>
        </is>
      </c>
      <c r="E133" s="3" t="inlineStr">
        <is>
          <t>P0</t>
        </is>
      </c>
      <c r="F133" s="3" t="inlineStr">
        <is>
          <t>Select a strategy.</t>
        </is>
      </c>
      <c r="G133" s="3" t="inlineStr">
        <is>
          <t>Strategy name applies to session.</t>
        </is>
      </c>
      <c r="H133" s="3" t="inlineStr">
        <is>
          <t>— Not tested</t>
        </is>
      </c>
      <c r="I133" s="3" t="inlineStr">
        <is>
          <t>— Not tested</t>
        </is>
      </c>
      <c r="J133" s="3" t="inlineStr">
        <is>
          <t>— Not tested</t>
        </is>
      </c>
    </row>
    <row r="134">
      <c r="A134" s="7" t="n">
        <v>133</v>
      </c>
      <c r="B134" s="7" t="inlineStr">
        <is>
          <t>2 — Sessions</t>
        </is>
      </c>
      <c r="C134" s="7" t="n">
        <v>15</v>
      </c>
      <c r="D134" s="7" t="inlineStr">
        <is>
          <t>Add Session Modal — Session Info</t>
        </is>
      </c>
      <c r="E134" s="3" t="inlineStr">
        <is>
          <t>P2</t>
        </is>
      </c>
      <c r="F134" s="3" t="inlineStr">
        <is>
          <t>Click **New Strategy** shortcut in dropdown.</t>
        </is>
      </c>
      <c r="G134" s="3" t="inlineStr">
        <is>
          <t>Navigates to Strategies create flow.</t>
        </is>
      </c>
      <c r="H134" s="3" t="inlineStr">
        <is>
          <t>— Not tested</t>
        </is>
      </c>
      <c r="I134" s="3" t="inlineStr">
        <is>
          <t>— Not tested</t>
        </is>
      </c>
      <c r="J134" s="3" t="inlineStr">
        <is>
          <t>— Not tested</t>
        </is>
      </c>
    </row>
    <row r="135">
      <c r="A135" s="7" t="n">
        <v>134</v>
      </c>
      <c r="B135" s="7" t="inlineStr">
        <is>
          <t>2 — Sessions</t>
        </is>
      </c>
      <c r="C135" s="7" t="n">
        <v>15</v>
      </c>
      <c r="D135" s="7" t="inlineStr">
        <is>
          <t>Add Session Modal — Session Info</t>
        </is>
      </c>
      <c r="E135" s="3" t="inlineStr">
        <is>
          <t>P1</t>
        </is>
      </c>
      <c r="F135" s="3" t="inlineStr">
        <is>
          <t>**Description** — enter text.</t>
        </is>
      </c>
      <c r="G135" s="3" t="inlineStr">
        <is>
          <t>Description saves with session.</t>
        </is>
      </c>
      <c r="H135" s="3" t="inlineStr">
        <is>
          <t>— Not tested</t>
        </is>
      </c>
      <c r="I135" s="3" t="inlineStr">
        <is>
          <t>— Not tested</t>
        </is>
      </c>
      <c r="J135" s="3" t="inlineStr">
        <is>
          <t>— Not tested</t>
        </is>
      </c>
    </row>
    <row r="136">
      <c r="A136" s="7" t="n">
        <v>135</v>
      </c>
      <c r="B136" s="7" t="inlineStr">
        <is>
          <t>2 — Sessions</t>
        </is>
      </c>
      <c r="C136" s="7" t="n">
        <v>16</v>
      </c>
      <c r="D136" s="7" t="inlineStr">
        <is>
          <t>Add Session Modal — Settings &amp; Symbols</t>
        </is>
      </c>
      <c r="E136" s="3" t="inlineStr">
        <is>
          <t>P0</t>
        </is>
      </c>
      <c r="F136" s="3" t="inlineStr">
        <is>
          <t>**Trading mode** — switch Standard ↔ Prop Firm.</t>
        </is>
      </c>
      <c r="G136" s="3" t="inlineStr">
        <is>
          <t>Prop section appears when Prop selected.</t>
        </is>
      </c>
      <c r="H136" s="3" t="inlineStr">
        <is>
          <t>— Not tested</t>
        </is>
      </c>
      <c r="I136" s="3" t="inlineStr">
        <is>
          <t>— Not tested</t>
        </is>
      </c>
      <c r="J136" s="3" t="inlineStr">
        <is>
          <t>— Not tested</t>
        </is>
      </c>
    </row>
    <row r="137">
      <c r="A137" s="7" t="n">
        <v>136</v>
      </c>
      <c r="B137" s="7" t="inlineStr">
        <is>
          <t>2 — Sessions</t>
        </is>
      </c>
      <c r="C137" s="7" t="n">
        <v>16</v>
      </c>
      <c r="D137" s="7" t="inlineStr">
        <is>
          <t>Add Session Modal — Settings &amp; Symbols</t>
        </is>
      </c>
      <c r="E137" s="3" t="inlineStr">
        <is>
          <t>P0</t>
        </is>
      </c>
      <c r="F137" s="3" t="inlineStr">
        <is>
          <t>**Asset class** dropdown — select Forex, Futures, Stocks, Crypto, etc.</t>
        </is>
      </c>
      <c r="G137" s="3" t="inlineStr">
        <is>
          <t>Symbol list updates per asset class.</t>
        </is>
      </c>
      <c r="H137" s="3" t="inlineStr">
        <is>
          <t>— Not tested</t>
        </is>
      </c>
      <c r="I137" s="3" t="inlineStr">
        <is>
          <t>— Not tested</t>
        </is>
      </c>
      <c r="J137" s="3" t="inlineStr">
        <is>
          <t>— Not tested</t>
        </is>
      </c>
    </row>
    <row r="138">
      <c r="A138" s="7" t="n">
        <v>137</v>
      </c>
      <c r="B138" s="7" t="inlineStr">
        <is>
          <t>2 — Sessions</t>
        </is>
      </c>
      <c r="C138" s="7" t="n">
        <v>16</v>
      </c>
      <c r="D138" s="7" t="inlineStr">
        <is>
          <t>Add Session Modal — Settings &amp; Symbols</t>
        </is>
      </c>
      <c r="E138" s="3" t="inlineStr">
        <is>
          <t>P0</t>
        </is>
      </c>
      <c r="F138" s="3" t="inlineStr">
        <is>
          <t>**Primary symbol(s)** — add ticker via search/picker.</t>
        </is>
      </c>
      <c r="G138" s="3" t="inlineStr">
        <is>
          <t>At least one symbol required; chip appears.</t>
        </is>
      </c>
      <c r="H138" s="3" t="inlineStr">
        <is>
          <t>— Not tested</t>
        </is>
      </c>
      <c r="I138" s="3" t="inlineStr">
        <is>
          <t>— Not tested</t>
        </is>
      </c>
      <c r="J138" s="3" t="inlineStr">
        <is>
          <t>— Not tested</t>
        </is>
      </c>
    </row>
    <row r="139">
      <c r="A139" s="7" t="n">
        <v>138</v>
      </c>
      <c r="B139" s="7" t="inlineStr">
        <is>
          <t>2 — Sessions</t>
        </is>
      </c>
      <c r="C139" s="7" t="n">
        <v>16</v>
      </c>
      <c r="D139" s="7" t="inlineStr">
        <is>
          <t>Add Session Modal — Settings &amp; Symbols</t>
        </is>
      </c>
      <c r="E139" s="3" t="inlineStr">
        <is>
          <t>P1</t>
        </is>
      </c>
      <c r="F139" s="3" t="inlineStr">
        <is>
          <t>Remove a ticker chip.</t>
        </is>
      </c>
      <c r="G139" s="3" t="inlineStr">
        <is>
          <t>Symbol removed from list.</t>
        </is>
      </c>
      <c r="H139" s="3" t="inlineStr">
        <is>
          <t>— Not tested</t>
        </is>
      </c>
      <c r="I139" s="3" t="inlineStr">
        <is>
          <t>— Not tested</t>
        </is>
      </c>
      <c r="J139" s="3" t="inlineStr">
        <is>
          <t>— Not tested</t>
        </is>
      </c>
    </row>
    <row r="140">
      <c r="A140" s="7" t="n">
        <v>139</v>
      </c>
      <c r="B140" s="7" t="inlineStr">
        <is>
          <t>2 — Sessions</t>
        </is>
      </c>
      <c r="C140" s="7" t="n">
        <v>16</v>
      </c>
      <c r="D140" s="7" t="inlineStr">
        <is>
          <t>Add Session Modal — Settings &amp; Symbols</t>
        </is>
      </c>
      <c r="E140" s="3" t="inlineStr">
        <is>
          <t>P0</t>
        </is>
      </c>
      <c r="F140" s="3" t="inlineStr">
        <is>
          <t>**Timeframe** — select (e.g. 1H, 15m, 1D).</t>
        </is>
      </c>
      <c r="G140" s="3" t="inlineStr">
        <is>
          <t>TF saves.</t>
        </is>
      </c>
      <c r="H140" s="3" t="inlineStr">
        <is>
          <t>— Not tested</t>
        </is>
      </c>
      <c r="I140" s="3" t="inlineStr">
        <is>
          <t>— Not tested</t>
        </is>
      </c>
      <c r="J140" s="3" t="inlineStr">
        <is>
          <t>— Not tested</t>
        </is>
      </c>
    </row>
    <row r="141">
      <c r="A141" s="7" t="n">
        <v>140</v>
      </c>
      <c r="B141" s="7" t="inlineStr">
        <is>
          <t>2 — Sessions</t>
        </is>
      </c>
      <c r="C141" s="7" t="n">
        <v>16</v>
      </c>
      <c r="D141" s="7" t="inlineStr">
        <is>
          <t>Add Session Modal — Settings &amp; Symbols</t>
        </is>
      </c>
      <c r="E141" s="3" t="inlineStr">
        <is>
          <t>P2</t>
        </is>
      </c>
      <c r="F141" s="3" t="inlineStr">
        <is>
          <t>Enable **supporting tickers** — add secondary symbols.</t>
        </is>
      </c>
      <c r="G141" s="3" t="inlineStr">
        <is>
          <t>Supporting symbols list populates.</t>
        </is>
      </c>
      <c r="H141" s="3" t="inlineStr">
        <is>
          <t>— Not tested</t>
        </is>
      </c>
      <c r="I141" s="3" t="inlineStr">
        <is>
          <t>— Not tested</t>
        </is>
      </c>
      <c r="J141" s="3" t="inlineStr">
        <is>
          <t>— Not tested</t>
        </is>
      </c>
    </row>
    <row r="142">
      <c r="A142" s="7" t="n">
        <v>141</v>
      </c>
      <c r="B142" s="7" t="inlineStr">
        <is>
          <t>2 — Sessions</t>
        </is>
      </c>
      <c r="C142" s="7" t="n">
        <v>16</v>
      </c>
      <c r="D142" s="7" t="inlineStr">
        <is>
          <t>Add Session Modal — Settings &amp; Symbols</t>
        </is>
      </c>
      <c r="E142" s="3" t="inlineStr">
        <is>
          <t>P1</t>
        </is>
      </c>
      <c r="F142" s="3" t="inlineStr">
        <is>
          <t>**Replay mode** — Candle vs Tick.</t>
        </is>
      </c>
      <c r="G142" s="3" t="inlineStr">
        <is>
          <t>Selection toggles.</t>
        </is>
      </c>
      <c r="H142" s="3" t="inlineStr">
        <is>
          <t>— Not tested</t>
        </is>
      </c>
      <c r="I142" s="3" t="inlineStr">
        <is>
          <t>— Not tested</t>
        </is>
      </c>
      <c r="J142" s="3" t="inlineStr">
        <is>
          <t>— Not tested</t>
        </is>
      </c>
    </row>
    <row r="143">
      <c r="A143" s="7" t="n">
        <v>142</v>
      </c>
      <c r="B143" s="7" t="inlineStr">
        <is>
          <t>2 — Sessions</t>
        </is>
      </c>
      <c r="C143" s="7" t="n">
        <v>16</v>
      </c>
      <c r="D143" s="7" t="inlineStr">
        <is>
          <t>Add Session Modal — Settings &amp; Symbols</t>
        </is>
      </c>
      <c r="E143" s="3" t="inlineStr">
        <is>
          <t>P1</t>
        </is>
      </c>
      <c r="F143" s="3" t="inlineStr">
        <is>
          <t>**Replay speed** slider.</t>
        </is>
      </c>
      <c r="G143" s="3" t="inlineStr">
        <is>
          <t>Speed value changes.</t>
        </is>
      </c>
      <c r="H143" s="3" t="inlineStr">
        <is>
          <t>— Not tested</t>
        </is>
      </c>
      <c r="I143" s="3" t="inlineStr">
        <is>
          <t>— Not tested</t>
        </is>
      </c>
      <c r="J143" s="3" t="inlineStr">
        <is>
          <t>— Not tested</t>
        </is>
      </c>
    </row>
    <row r="144">
      <c r="A144" s="7" t="n">
        <v>143</v>
      </c>
      <c r="B144" s="7" t="inlineStr">
        <is>
          <t>2 — Sessions</t>
        </is>
      </c>
      <c r="C144" s="7" t="n">
        <v>16</v>
      </c>
      <c r="D144" s="7" t="inlineStr">
        <is>
          <t>Add Session Modal — Settings &amp; Symbols</t>
        </is>
      </c>
      <c r="E144" s="3" t="inlineStr">
        <is>
          <t>P1</t>
        </is>
      </c>
      <c r="F144" s="3" t="inlineStr">
        <is>
          <t>**Rollback** toggle on/off.</t>
        </is>
      </c>
      <c r="G144" s="3" t="inlineStr">
        <is>
          <t>Setting saves.</t>
        </is>
      </c>
      <c r="H144" s="3" t="inlineStr">
        <is>
          <t>— Not tested</t>
        </is>
      </c>
      <c r="I144" s="3" t="inlineStr">
        <is>
          <t>— Not tested</t>
        </is>
      </c>
      <c r="J144" s="3" t="inlineStr">
        <is>
          <t>— Not tested</t>
        </is>
      </c>
    </row>
    <row r="145">
      <c r="A145" s="7" t="n">
        <v>144</v>
      </c>
      <c r="B145" s="7" t="inlineStr">
        <is>
          <t>2 — Sessions</t>
        </is>
      </c>
      <c r="C145" s="7" t="n">
        <v>16</v>
      </c>
      <c r="D145" s="7" t="inlineStr">
        <is>
          <t>Add Session Modal — Settings &amp; Symbols</t>
        </is>
      </c>
      <c r="E145" s="3" t="inlineStr">
        <is>
          <t>P2</t>
        </is>
      </c>
      <c r="F145" s="3" t="inlineStr">
        <is>
          <t>**MFE/MAE tracking** toggle + hours/candles window.</t>
        </is>
      </c>
      <c r="G145" s="3" t="inlineStr">
        <is>
          <t>Fields enable/disable together.</t>
        </is>
      </c>
      <c r="H145" s="3" t="inlineStr">
        <is>
          <t>— Not tested</t>
        </is>
      </c>
      <c r="I145" s="3" t="inlineStr">
        <is>
          <t>— Not tested</t>
        </is>
      </c>
      <c r="J145" s="3" t="inlineStr">
        <is>
          <t>— Not tested</t>
        </is>
      </c>
    </row>
    <row r="146">
      <c r="A146" s="7" t="n">
        <v>145</v>
      </c>
      <c r="B146" s="7" t="inlineStr">
        <is>
          <t>2 — Sessions</t>
        </is>
      </c>
      <c r="C146" s="7" t="n">
        <v>16</v>
      </c>
      <c r="D146" s="7" t="inlineStr">
        <is>
          <t>Add Session Modal — Settings &amp; Symbols</t>
        </is>
      </c>
      <c r="E146" s="3" t="inlineStr">
        <is>
          <t>P2</t>
        </is>
      </c>
      <c r="F146" s="3" t="inlineStr">
        <is>
          <t>**Post-exit window** — hours vs candles mode.</t>
        </is>
      </c>
      <c r="G146" s="3" t="inlineStr">
        <is>
          <t>Mode switch works.</t>
        </is>
      </c>
      <c r="H146" s="3" t="inlineStr">
        <is>
          <t>— Not tested</t>
        </is>
      </c>
      <c r="I146" s="3" t="inlineStr">
        <is>
          <t>— Not tested</t>
        </is>
      </c>
      <c r="J146" s="3" t="inlineStr">
        <is>
          <t>— Not tested</t>
        </is>
      </c>
    </row>
    <row r="147">
      <c r="A147" s="7" t="n">
        <v>146</v>
      </c>
      <c r="B147" s="7" t="inlineStr">
        <is>
          <t>2 — Sessions</t>
        </is>
      </c>
      <c r="C147" s="7" t="n">
        <v>16</v>
      </c>
      <c r="D147" s="7" t="inlineStr">
        <is>
          <t>Add Session Modal — Settings &amp; Symbols</t>
        </is>
      </c>
      <c r="E147" s="3" t="inlineStr">
        <is>
          <t>P1</t>
        </is>
      </c>
      <c r="F147" s="3" t="inlineStr">
        <is>
          <t>**Timezone** + **DST** toggles.</t>
        </is>
      </c>
      <c r="G147" s="3" t="inlineStr">
        <is>
          <t>Timezone list selectable.</t>
        </is>
      </c>
      <c r="H147" s="3" t="inlineStr">
        <is>
          <t>— Not tested</t>
        </is>
      </c>
      <c r="I147" s="3" t="inlineStr">
        <is>
          <t>— Not tested</t>
        </is>
      </c>
      <c r="J147" s="3" t="inlineStr">
        <is>
          <t>— Not tested</t>
        </is>
      </c>
    </row>
    <row r="148">
      <c r="A148" s="7" t="n">
        <v>147</v>
      </c>
      <c r="B148" s="7" t="inlineStr">
        <is>
          <t>2 — Sessions</t>
        </is>
      </c>
      <c r="C148" s="7" t="n">
        <v>16</v>
      </c>
      <c r="D148" s="7" t="inlineStr">
        <is>
          <t>Add Session Modal — Settings &amp; Symbols</t>
        </is>
      </c>
      <c r="E148" s="3" t="inlineStr">
        <is>
          <t>P2</t>
        </is>
      </c>
      <c r="F148" s="3" t="inlineStr">
        <is>
          <t>**Advanced order** toggle.</t>
        </is>
      </c>
      <c r="G148" s="3" t="inlineStr">
        <is>
          <t>Enables advanced order options for session.</t>
        </is>
      </c>
      <c r="H148" s="3" t="inlineStr">
        <is>
          <t>— Not tested</t>
        </is>
      </c>
      <c r="I148" s="3" t="inlineStr">
        <is>
          <t>— Not tested</t>
        </is>
      </c>
      <c r="J148" s="3" t="inlineStr">
        <is>
          <t>— Not tested</t>
        </is>
      </c>
    </row>
    <row r="149">
      <c r="A149" s="7" t="n">
        <v>148</v>
      </c>
      <c r="B149" s="7" t="inlineStr">
        <is>
          <t>2 — Sessions</t>
        </is>
      </c>
      <c r="C149" s="7" t="n">
        <v>17</v>
      </c>
      <c r="D149" s="7" t="inlineStr">
        <is>
          <t>Add Session Modal — Date Range</t>
        </is>
      </c>
      <c r="E149" s="3" t="inlineStr">
        <is>
          <t>P1</t>
        </is>
      </c>
      <c r="F149" s="3" t="inlineStr">
        <is>
          <t>**Date mode** — Date range vs N-bars (if both exist).</t>
        </is>
      </c>
      <c r="G149" s="3" t="inlineStr">
        <is>
          <t>UI switches between modes.</t>
        </is>
      </c>
      <c r="H149" s="3" t="inlineStr">
        <is>
          <t>— Not tested</t>
        </is>
      </c>
      <c r="I149" s="3" t="inlineStr">
        <is>
          <t>— Not tested</t>
        </is>
      </c>
      <c r="J149" s="3" t="inlineStr">
        <is>
          <t>— Not tested</t>
        </is>
      </c>
    </row>
    <row r="150">
      <c r="A150" s="7" t="n">
        <v>149</v>
      </c>
      <c r="B150" s="7" t="inlineStr">
        <is>
          <t>2 — Sessions</t>
        </is>
      </c>
      <c r="C150" s="7" t="n">
        <v>17</v>
      </c>
      <c r="D150" s="7" t="inlineStr">
        <is>
          <t>Add Session Modal — Date Range</t>
        </is>
      </c>
      <c r="E150" s="3" t="inlineStr">
        <is>
          <t>P0</t>
        </is>
      </c>
      <c r="F150" s="3" t="inlineStr">
        <is>
          <t>Open **calendar** for start date — pick a date.</t>
        </is>
      </c>
      <c r="G150" s="3" t="inlineStr">
        <is>
          <t>Start date field populates.</t>
        </is>
      </c>
      <c r="H150" s="3" t="inlineStr">
        <is>
          <t>— Not tested</t>
        </is>
      </c>
      <c r="I150" s="3" t="inlineStr">
        <is>
          <t>— Not tested</t>
        </is>
      </c>
      <c r="J150" s="3" t="inlineStr">
        <is>
          <t>— Not tested</t>
        </is>
      </c>
    </row>
    <row r="151">
      <c r="A151" s="7" t="n">
        <v>150</v>
      </c>
      <c r="B151" s="7" t="inlineStr">
        <is>
          <t>2 — Sessions</t>
        </is>
      </c>
      <c r="C151" s="7" t="n">
        <v>17</v>
      </c>
      <c r="D151" s="7" t="inlineStr">
        <is>
          <t>Add Session Modal — Date Range</t>
        </is>
      </c>
      <c r="E151" s="3" t="inlineStr">
        <is>
          <t>P0</t>
        </is>
      </c>
      <c r="F151" s="3" t="inlineStr">
        <is>
          <t>Open calendar for **end date** — pick after start.</t>
        </is>
      </c>
      <c r="G151" s="3" t="inlineStr">
        <is>
          <t>End date populates.</t>
        </is>
      </c>
      <c r="H151" s="3" t="inlineStr">
        <is>
          <t>— Not tested</t>
        </is>
      </c>
      <c r="I151" s="3" t="inlineStr">
        <is>
          <t>— Not tested</t>
        </is>
      </c>
      <c r="J151" s="3" t="inlineStr">
        <is>
          <t>— Not tested</t>
        </is>
      </c>
    </row>
    <row r="152">
      <c r="A152" s="7" t="n">
        <v>151</v>
      </c>
      <c r="B152" s="7" t="inlineStr">
        <is>
          <t>2 — Sessions</t>
        </is>
      </c>
      <c r="C152" s="7" t="n">
        <v>17</v>
      </c>
      <c r="D152" s="7" t="inlineStr">
        <is>
          <t>Add Session Modal — Date Range</t>
        </is>
      </c>
      <c r="E152" s="3" t="inlineStr">
        <is>
          <t>P1</t>
        </is>
      </c>
      <c r="F152" s="3" t="inlineStr">
        <is>
          <t>Use **quick date presets** (e.g. 1Y, 6M, YTD).</t>
        </is>
      </c>
      <c r="G152" s="3" t="inlineStr">
        <is>
          <t>Range auto-fills.</t>
        </is>
      </c>
      <c r="H152" s="3" t="inlineStr">
        <is>
          <t>— Not tested</t>
        </is>
      </c>
      <c r="I152" s="3" t="inlineStr">
        <is>
          <t>— Not tested</t>
        </is>
      </c>
      <c r="J152" s="3" t="inlineStr">
        <is>
          <t>— Not tested</t>
        </is>
      </c>
    </row>
    <row r="153">
      <c r="A153" s="7" t="n">
        <v>152</v>
      </c>
      <c r="B153" s="7" t="inlineStr">
        <is>
          <t>2 — Sessions</t>
        </is>
      </c>
      <c r="C153" s="7" t="n">
        <v>17</v>
      </c>
      <c r="D153" s="7" t="inlineStr">
        <is>
          <t>Add Session Modal — Date Range</t>
        </is>
      </c>
      <c r="E153" s="3" t="inlineStr">
        <is>
          <t>P2</t>
        </is>
      </c>
      <c r="F153" s="3" t="inlineStr">
        <is>
          <t>Type dates manually in start/end inputs.</t>
        </is>
      </c>
      <c r="G153" s="3" t="inlineStr">
        <is>
          <t>Manual entry parses correctly.</t>
        </is>
      </c>
      <c r="H153" s="3" t="inlineStr">
        <is>
          <t>— Not tested</t>
        </is>
      </c>
      <c r="I153" s="3" t="inlineStr">
        <is>
          <t>— Not tested</t>
        </is>
      </c>
      <c r="J153" s="3" t="inlineStr">
        <is>
          <t>— Not tested</t>
        </is>
      </c>
    </row>
    <row r="154">
      <c r="A154" s="7" t="n">
        <v>153</v>
      </c>
      <c r="B154" s="7" t="inlineStr">
        <is>
          <t>2 — Sessions</t>
        </is>
      </c>
      <c r="C154" s="7" t="n">
        <v>17</v>
      </c>
      <c r="D154" s="7" t="inlineStr">
        <is>
          <t>Add Session Modal — Date Range</t>
        </is>
      </c>
      <c r="E154" s="3" t="inlineStr">
        <is>
          <t>P1</t>
        </is>
      </c>
      <c r="F154" s="3" t="inlineStr">
        <is>
          <t>Set end before start.</t>
        </is>
      </c>
      <c r="G154" s="3" t="inlineStr">
        <is>
          <t>Validation error or auto-correct.</t>
        </is>
      </c>
      <c r="H154" s="3" t="inlineStr">
        <is>
          <t>— Not tested</t>
        </is>
      </c>
      <c r="I154" s="3" t="inlineStr">
        <is>
          <t>— Not tested</t>
        </is>
      </c>
      <c r="J154" s="3" t="inlineStr">
        <is>
          <t>— Not tested</t>
        </is>
      </c>
    </row>
    <row r="155">
      <c r="A155" s="7" t="n">
        <v>154</v>
      </c>
      <c r="B155" s="7" t="inlineStr">
        <is>
          <t>2 — Sessions</t>
        </is>
      </c>
      <c r="C155" s="7" t="n">
        <v>17</v>
      </c>
      <c r="D155" s="7" t="inlineStr">
        <is>
          <t>Add Session Modal — Date Range</t>
        </is>
      </c>
      <c r="E155" s="3" t="inlineStr">
        <is>
          <t>P2</t>
        </is>
      </c>
      <c r="F155" s="3" t="inlineStr">
        <is>
          <t>N-bars mode: enter bar count.</t>
        </is>
      </c>
      <c r="G155" s="3" t="inlineStr">
        <is>
          <t>Session uses last N bars.</t>
        </is>
      </c>
      <c r="H155" s="3" t="inlineStr">
        <is>
          <t>— Not tested</t>
        </is>
      </c>
      <c r="I155" s="3" t="inlineStr">
        <is>
          <t>— Not tested</t>
        </is>
      </c>
      <c r="J155" s="3" t="inlineStr">
        <is>
          <t>— Not tested</t>
        </is>
      </c>
    </row>
    <row r="156">
      <c r="A156" s="7" t="n">
        <v>155</v>
      </c>
      <c r="B156" s="7" t="inlineStr">
        <is>
          <t>2 — Sessions</t>
        </is>
      </c>
      <c r="C156" s="7" t="n">
        <v>18</v>
      </c>
      <c r="D156" s="7" t="inlineStr">
        <is>
          <t>Add Session Modal — Account &amp; Costs</t>
        </is>
      </c>
      <c r="E156" s="3" t="inlineStr">
        <is>
          <t>P0</t>
        </is>
      </c>
      <c r="F156" s="3" t="inlineStr">
        <is>
          <t>**Starting capital** — enter amount (required).</t>
        </is>
      </c>
      <c r="G156" s="3" t="inlineStr">
        <is>
          <t>Field accepts numbers.</t>
        </is>
      </c>
      <c r="H156" s="3" t="inlineStr">
        <is>
          <t>— Not tested</t>
        </is>
      </c>
      <c r="I156" s="3" t="inlineStr">
        <is>
          <t>— Not tested</t>
        </is>
      </c>
      <c r="J156" s="3" t="inlineStr">
        <is>
          <t>— Not tested</t>
        </is>
      </c>
    </row>
    <row r="157">
      <c r="A157" s="7" t="n">
        <v>156</v>
      </c>
      <c r="B157" s="7" t="inlineStr">
        <is>
          <t>2 — Sessions</t>
        </is>
      </c>
      <c r="C157" s="7" t="n">
        <v>18</v>
      </c>
      <c r="D157" s="7" t="inlineStr">
        <is>
          <t>Add Session Modal — Account &amp; Costs</t>
        </is>
      </c>
      <c r="E157" s="3" t="inlineStr">
        <is>
          <t>P1</t>
        </is>
      </c>
      <c r="F157" s="3" t="inlineStr">
        <is>
          <t>**Currency** dropdown — USD, EUR, etc.</t>
        </is>
      </c>
      <c r="G157" s="3" t="inlineStr">
        <is>
          <t>Currency flag/icon updates.</t>
        </is>
      </c>
      <c r="H157" s="3" t="inlineStr">
        <is>
          <t>— Not tested</t>
        </is>
      </c>
      <c r="I157" s="3" t="inlineStr">
        <is>
          <t>— Not tested</t>
        </is>
      </c>
      <c r="J157" s="3" t="inlineStr">
        <is>
          <t>— Not tested</t>
        </is>
      </c>
    </row>
    <row r="158">
      <c r="A158" s="7" t="n">
        <v>157</v>
      </c>
      <c r="B158" s="7" t="inlineStr">
        <is>
          <t>2 — Sessions</t>
        </is>
      </c>
      <c r="C158" s="7" t="n">
        <v>18</v>
      </c>
      <c r="D158" s="7" t="inlineStr">
        <is>
          <t>Add Session Modal — Account &amp; Costs</t>
        </is>
      </c>
      <c r="E158" s="3" t="inlineStr">
        <is>
          <t>P1</t>
        </is>
      </c>
      <c r="F158" s="3" t="inlineStr">
        <is>
          <t>**Risk mode** — % vs fixed $.</t>
        </is>
      </c>
      <c r="G158" s="3" t="inlineStr">
        <is>
          <t>Risk input label changes.</t>
        </is>
      </c>
      <c r="H158" s="3" t="inlineStr">
        <is>
          <t>— Not tested</t>
        </is>
      </c>
      <c r="I158" s="3" t="inlineStr">
        <is>
          <t>— Not tested</t>
        </is>
      </c>
      <c r="J158" s="3" t="inlineStr">
        <is>
          <t>— Not tested</t>
        </is>
      </c>
    </row>
    <row r="159">
      <c r="A159" s="7" t="n">
        <v>158</v>
      </c>
      <c r="B159" s="7" t="inlineStr">
        <is>
          <t>2 — Sessions</t>
        </is>
      </c>
      <c r="C159" s="7" t="n">
        <v>18</v>
      </c>
      <c r="D159" s="7" t="inlineStr">
        <is>
          <t>Add Session Modal — Account &amp; Costs</t>
        </is>
      </c>
      <c r="E159" s="3" t="inlineStr">
        <is>
          <t>P1</t>
        </is>
      </c>
      <c r="F159" s="3" t="inlineStr">
        <is>
          <t>**Risk value** — enter 1% or dollar amount.</t>
        </is>
      </c>
      <c r="G159" s="3" t="inlineStr">
        <is>
          <t>Value saves.</t>
        </is>
      </c>
      <c r="H159" s="3" t="inlineStr">
        <is>
          <t>— Not tested</t>
        </is>
      </c>
      <c r="I159" s="3" t="inlineStr">
        <is>
          <t>— Not tested</t>
        </is>
      </c>
      <c r="J159" s="3" t="inlineStr">
        <is>
          <t>— Not tested</t>
        </is>
      </c>
    </row>
    <row r="160">
      <c r="A160" s="7" t="n">
        <v>159</v>
      </c>
      <c r="B160" s="7" t="inlineStr">
        <is>
          <t>2 — Sessions</t>
        </is>
      </c>
      <c r="C160" s="7" t="n">
        <v>18</v>
      </c>
      <c r="D160" s="7" t="inlineStr">
        <is>
          <t>Add Session Modal — Account &amp; Costs</t>
        </is>
      </c>
      <c r="E160" s="3" t="inlineStr">
        <is>
          <t>P1</t>
        </is>
      </c>
      <c r="F160" s="3" t="inlineStr">
        <is>
          <t>**Leverage** — select or type (e.g. 1:100).</t>
        </is>
      </c>
      <c r="G160" s="3" t="inlineStr">
        <is>
          <t>Leverage saves.</t>
        </is>
      </c>
      <c r="H160" s="3" t="inlineStr">
        <is>
          <t>— Not tested</t>
        </is>
      </c>
      <c r="I160" s="3" t="inlineStr">
        <is>
          <t>— Not tested</t>
        </is>
      </c>
      <c r="J160" s="3" t="inlineStr">
        <is>
          <t>— Not tested</t>
        </is>
      </c>
    </row>
    <row r="161">
      <c r="A161" s="7" t="n">
        <v>160</v>
      </c>
      <c r="B161" s="7" t="inlineStr">
        <is>
          <t>2 — Sessions</t>
        </is>
      </c>
      <c r="C161" s="7" t="n">
        <v>18</v>
      </c>
      <c r="D161" s="7" t="inlineStr">
        <is>
          <t>Add Session Modal — Account &amp; Costs</t>
        </is>
      </c>
      <c r="E161" s="3" t="inlineStr">
        <is>
          <t>P1</t>
        </is>
      </c>
      <c r="F161" s="3" t="inlineStr">
        <is>
          <t>**Commission** type — none / per lot / etc.</t>
        </is>
      </c>
      <c r="G161" s="3" t="inlineStr">
        <is>
          <t>Commission value field enables.</t>
        </is>
      </c>
      <c r="H161" s="3" t="inlineStr">
        <is>
          <t>— Not tested</t>
        </is>
      </c>
      <c r="I161" s="3" t="inlineStr">
        <is>
          <t>— Not tested</t>
        </is>
      </c>
      <c r="J161" s="3" t="inlineStr">
        <is>
          <t>— Not tested</t>
        </is>
      </c>
    </row>
    <row r="162">
      <c r="A162" s="7" t="n">
        <v>161</v>
      </c>
      <c r="B162" s="7" t="inlineStr">
        <is>
          <t>2 — Sessions</t>
        </is>
      </c>
      <c r="C162" s="7" t="n">
        <v>18</v>
      </c>
      <c r="D162" s="7" t="inlineStr">
        <is>
          <t>Add Session Modal — Account &amp; Costs</t>
        </is>
      </c>
      <c r="E162" s="3" t="inlineStr">
        <is>
          <t>P1</t>
        </is>
      </c>
      <c r="F162" s="3" t="inlineStr">
        <is>
          <t>**Commission value** — enter e.g. 3.50.</t>
        </is>
      </c>
      <c r="G162" s="3" t="inlineStr">
        <is>
          <t>Value saves.</t>
        </is>
      </c>
      <c r="H162" s="3" t="inlineStr">
        <is>
          <t>— Not tested</t>
        </is>
      </c>
      <c r="I162" s="3" t="inlineStr">
        <is>
          <t>— Not tested</t>
        </is>
      </c>
      <c r="J162" s="3" t="inlineStr">
        <is>
          <t>— Not tested</t>
        </is>
      </c>
    </row>
    <row r="163">
      <c r="A163" s="7" t="n">
        <v>162</v>
      </c>
      <c r="B163" s="7" t="inlineStr">
        <is>
          <t>2 — Sessions</t>
        </is>
      </c>
      <c r="C163" s="7" t="n">
        <v>18</v>
      </c>
      <c r="D163" s="7" t="inlineStr">
        <is>
          <t>Add Session Modal — Account &amp; Costs</t>
        </is>
      </c>
      <c r="E163" s="3" t="inlineStr">
        <is>
          <t>P2</t>
        </is>
      </c>
      <c r="F163" s="3" t="inlineStr">
        <is>
          <t>**Slippage** — enter ticks/pips.</t>
        </is>
      </c>
      <c r="G163" s="3" t="inlineStr">
        <is>
          <t>Value saves.</t>
        </is>
      </c>
      <c r="H163" s="3" t="inlineStr">
        <is>
          <t>— Not tested</t>
        </is>
      </c>
      <c r="I163" s="3" t="inlineStr">
        <is>
          <t>— Not tested</t>
        </is>
      </c>
      <c r="J163" s="3" t="inlineStr">
        <is>
          <t>— Not tested</t>
        </is>
      </c>
    </row>
    <row r="164">
      <c r="A164" s="7" t="n">
        <v>163</v>
      </c>
      <c r="B164" s="7" t="inlineStr">
        <is>
          <t>2 — Sessions</t>
        </is>
      </c>
      <c r="C164" s="7" t="n">
        <v>18</v>
      </c>
      <c r="D164" s="7" t="inlineStr">
        <is>
          <t>Add Session Modal — Account &amp; Costs</t>
        </is>
      </c>
      <c r="E164" s="3" t="inlineStr">
        <is>
          <t>P2</t>
        </is>
      </c>
      <c r="F164" s="3" t="inlineStr">
        <is>
          <t>**Spread** per symbol if exposed.</t>
        </is>
      </c>
      <c r="G164" s="3" t="inlineStr">
        <is>
          <t>Spread saves.</t>
        </is>
      </c>
      <c r="H164" s="3" t="inlineStr">
        <is>
          <t>— Not tested</t>
        </is>
      </c>
      <c r="I164" s="3" t="inlineStr">
        <is>
          <t>— Not tested</t>
        </is>
      </c>
      <c r="J164" s="3" t="inlineStr">
        <is>
          <t>— Not tested</t>
        </is>
      </c>
    </row>
    <row r="165">
      <c r="A165" s="7" t="n">
        <v>164</v>
      </c>
      <c r="B165" s="7" t="inlineStr">
        <is>
          <t>2 — Sessions</t>
        </is>
      </c>
      <c r="C165" s="7" t="n">
        <v>18</v>
      </c>
      <c r="D165" s="7" t="inlineStr">
        <is>
          <t>Add Session Modal — Account &amp; Costs</t>
        </is>
      </c>
      <c r="E165" s="3" t="inlineStr">
        <is>
          <t>P2</t>
        </is>
      </c>
      <c r="F165" s="3" t="inlineStr">
        <is>
          <t>**Margin call** / **Stop out** levels if shown.</t>
        </is>
      </c>
      <c r="G165" s="3" t="inlineStr">
        <is>
          <t>Values editable.</t>
        </is>
      </c>
      <c r="H165" s="3" t="inlineStr">
        <is>
          <t>— Not tested</t>
        </is>
      </c>
      <c r="I165" s="3" t="inlineStr">
        <is>
          <t>— Not tested</t>
        </is>
      </c>
      <c r="J165" s="3" t="inlineStr">
        <is>
          <t>— Not tested</t>
        </is>
      </c>
    </row>
    <row r="166">
      <c r="A166" s="7" t="n">
        <v>165</v>
      </c>
      <c r="B166" s="7" t="inlineStr">
        <is>
          <t>2 — Sessions</t>
        </is>
      </c>
      <c r="C166" s="7" t="n">
        <v>18</v>
      </c>
      <c r="D166" s="7" t="inlineStr">
        <is>
          <t>Add Session Modal — Account &amp; Costs</t>
        </is>
      </c>
      <c r="E166" s="3" t="inlineStr">
        <is>
          <t>P2</t>
        </is>
      </c>
      <c r="F166" s="3" t="inlineStr">
        <is>
          <t>**Data files** — open file picker; link CSV dataset.</t>
        </is>
      </c>
      <c r="G166" s="3" t="inlineStr">
        <is>
          <t>File attaches to session.</t>
        </is>
      </c>
      <c r="H166" s="3" t="inlineStr">
        <is>
          <t>— Not tested</t>
        </is>
      </c>
      <c r="I166" s="3" t="inlineStr">
        <is>
          <t>— Not tested</t>
        </is>
      </c>
      <c r="J166" s="3" t="inlineStr">
        <is>
          <t>— Not tested</t>
        </is>
      </c>
    </row>
    <row r="167">
      <c r="A167" s="7" t="n">
        <v>166</v>
      </c>
      <c r="B167" s="7" t="inlineStr">
        <is>
          <t>2 — Sessions</t>
        </is>
      </c>
      <c r="C167" s="7" t="n">
        <v>19</v>
      </c>
      <c r="D167" s="7" t="inlineStr">
        <is>
          <t>Add Session Modal — Prop Firm Rules</t>
        </is>
      </c>
      <c r="E167" s="3" t="inlineStr">
        <is>
          <t>P0</t>
        </is>
      </c>
      <c r="F167" s="3" t="inlineStr">
        <is>
          <t>Set trading mode to **Prop Firm**.</t>
        </is>
      </c>
      <c r="G167" s="3" t="inlineStr">
        <is>
          <t>Prop Firm section expands.</t>
        </is>
      </c>
      <c r="H167" s="3" t="inlineStr">
        <is>
          <t>— Not tested</t>
        </is>
      </c>
      <c r="I167" s="3" t="inlineStr">
        <is>
          <t>— Not tested</t>
        </is>
      </c>
      <c r="J167" s="3" t="inlineStr">
        <is>
          <t>— Not tested</t>
        </is>
      </c>
    </row>
    <row r="168">
      <c r="A168" s="7" t="n">
        <v>167</v>
      </c>
      <c r="B168" s="7" t="inlineStr">
        <is>
          <t>2 — Sessions</t>
        </is>
      </c>
      <c r="C168" s="7" t="n">
        <v>19</v>
      </c>
      <c r="D168" s="7" t="inlineStr">
        <is>
          <t>Add Session Modal — Prop Firm Rules</t>
        </is>
      </c>
      <c r="E168" s="3" t="inlineStr">
        <is>
          <t>P1</t>
        </is>
      </c>
      <c r="F168" s="3" t="inlineStr">
        <is>
          <t>**Firm preset** — select FTMO or other.</t>
        </is>
      </c>
      <c r="G168" s="3" t="inlineStr">
        <is>
          <t>Preset fills default rule values.</t>
        </is>
      </c>
      <c r="H168" s="3" t="inlineStr">
        <is>
          <t>— Not tested</t>
        </is>
      </c>
      <c r="I168" s="3" t="inlineStr">
        <is>
          <t>— Not tested</t>
        </is>
      </c>
      <c r="J168" s="3" t="inlineStr">
        <is>
          <t>— Not tested</t>
        </is>
      </c>
    </row>
    <row r="169">
      <c r="A169" s="7" t="n">
        <v>168</v>
      </c>
      <c r="B169" s="7" t="inlineStr">
        <is>
          <t>2 — Sessions</t>
        </is>
      </c>
      <c r="C169" s="7" t="n">
        <v>19</v>
      </c>
      <c r="D169" s="7" t="inlineStr">
        <is>
          <t>Add Session Modal — Prop Firm Rules</t>
        </is>
      </c>
      <c r="E169" s="3" t="inlineStr">
        <is>
          <t>P1</t>
        </is>
      </c>
      <c r="F169" s="3" t="inlineStr">
        <is>
          <t>**Challenge type** — Evaluation / Funded.</t>
        </is>
      </c>
      <c r="G169" s="3" t="inlineStr">
        <is>
          <t>Selection saves.</t>
        </is>
      </c>
      <c r="H169" s="3" t="inlineStr">
        <is>
          <t>— Not tested</t>
        </is>
      </c>
      <c r="I169" s="3" t="inlineStr">
        <is>
          <t>— Not tested</t>
        </is>
      </c>
      <c r="J169" s="3" t="inlineStr">
        <is>
          <t>— Not tested</t>
        </is>
      </c>
    </row>
    <row r="170">
      <c r="A170" s="7" t="n">
        <v>169</v>
      </c>
      <c r="B170" s="7" t="inlineStr">
        <is>
          <t>2 — Sessions</t>
        </is>
      </c>
      <c r="C170" s="7" t="n">
        <v>19</v>
      </c>
      <c r="D170" s="7" t="inlineStr">
        <is>
          <t>Add Session Modal — Prop Firm Rules</t>
        </is>
      </c>
      <c r="E170" s="3" t="inlineStr">
        <is>
          <t>P1</t>
        </is>
      </c>
      <c r="F170" s="3" t="inlineStr">
        <is>
          <t>**Number of phases** — 1 or 2.</t>
        </is>
      </c>
      <c r="G170" s="3" t="inlineStr">
        <is>
          <t>Phase 2 fields appear when 2 selected.</t>
        </is>
      </c>
      <c r="H170" s="3" t="inlineStr">
        <is>
          <t>— Not tested</t>
        </is>
      </c>
      <c r="I170" s="3" t="inlineStr">
        <is>
          <t>— Not tested</t>
        </is>
      </c>
      <c r="J170" s="3" t="inlineStr">
        <is>
          <t>— Not tested</t>
        </is>
      </c>
    </row>
    <row r="171">
      <c r="A171" s="7" t="n">
        <v>170</v>
      </c>
      <c r="B171" s="7" t="inlineStr">
        <is>
          <t>2 — Sessions</t>
        </is>
      </c>
      <c r="C171" s="7" t="n">
        <v>19</v>
      </c>
      <c r="D171" s="7" t="inlineStr">
        <is>
          <t>Add Session Modal — Prop Firm Rules</t>
        </is>
      </c>
      <c r="E171" s="3" t="inlineStr">
        <is>
          <t>P0</t>
        </is>
      </c>
      <c r="F171" s="3" t="inlineStr">
        <is>
          <t>Phase 1: **Daily loss %**, **Max DD %**, **Profit target %**.</t>
        </is>
      </c>
      <c r="G171" s="3" t="inlineStr">
        <is>
          <t>Each field editable.</t>
        </is>
      </c>
      <c r="H171" s="3" t="inlineStr">
        <is>
          <t>— Not tested</t>
        </is>
      </c>
      <c r="I171" s="3" t="inlineStr">
        <is>
          <t>— Not tested</t>
        </is>
      </c>
      <c r="J171" s="3" t="inlineStr">
        <is>
          <t>— Not tested</t>
        </is>
      </c>
    </row>
    <row r="172">
      <c r="A172" s="7" t="n">
        <v>171</v>
      </c>
      <c r="B172" s="7" t="inlineStr">
        <is>
          <t>2 — Sessions</t>
        </is>
      </c>
      <c r="C172" s="7" t="n">
        <v>19</v>
      </c>
      <c r="D172" s="7" t="inlineStr">
        <is>
          <t>Add Session Modal — Prop Firm Rules</t>
        </is>
      </c>
      <c r="E172" s="3" t="inlineStr">
        <is>
          <t>P1</t>
        </is>
      </c>
      <c r="F172" s="3" t="inlineStr">
        <is>
          <t>Phase 1: **Min trading days** toggle + value.</t>
        </is>
      </c>
      <c r="G172" s="3" t="inlineStr">
        <is>
          <t>Toggle enables/disables day count.</t>
        </is>
      </c>
      <c r="H172" s="3" t="inlineStr">
        <is>
          <t>— Not tested</t>
        </is>
      </c>
      <c r="I172" s="3" t="inlineStr">
        <is>
          <t>— Not tested</t>
        </is>
      </c>
      <c r="J172" s="3" t="inlineStr">
        <is>
          <t>— Not tested</t>
        </is>
      </c>
    </row>
    <row r="173">
      <c r="A173" s="7" t="n">
        <v>172</v>
      </c>
      <c r="B173" s="7" t="inlineStr">
        <is>
          <t>2 — Sessions</t>
        </is>
      </c>
      <c r="C173" s="7" t="n">
        <v>19</v>
      </c>
      <c r="D173" s="7" t="inlineStr">
        <is>
          <t>Add Session Modal — Prop Firm Rules</t>
        </is>
      </c>
      <c r="E173" s="3" t="inlineStr">
        <is>
          <t>P1</t>
        </is>
      </c>
      <c r="F173" s="3" t="inlineStr">
        <is>
          <t>Phase 2: repeat loss/DD/target/min days if 2 phases.</t>
        </is>
      </c>
      <c r="G173" s="3" t="inlineStr">
        <is>
          <t>Phase 2 fields work independently.</t>
        </is>
      </c>
      <c r="H173" s="3" t="inlineStr">
        <is>
          <t>— Not tested</t>
        </is>
      </c>
      <c r="I173" s="3" t="inlineStr">
        <is>
          <t>— Not tested</t>
        </is>
      </c>
      <c r="J173" s="3" t="inlineStr">
        <is>
          <t>— Not tested</t>
        </is>
      </c>
    </row>
    <row r="174">
      <c r="A174" s="7" t="n">
        <v>173</v>
      </c>
      <c r="B174" s="7" t="inlineStr">
        <is>
          <t>2 — Sessions</t>
        </is>
      </c>
      <c r="C174" s="7" t="n">
        <v>19</v>
      </c>
      <c r="D174" s="7" t="inlineStr">
        <is>
          <t>Add Session Modal — Prop Firm Rules</t>
        </is>
      </c>
      <c r="E174" s="3" t="inlineStr">
        <is>
          <t>P1</t>
        </is>
      </c>
      <c r="F174" s="3" t="inlineStr">
        <is>
          <t>**Trailing drawdown** toggle.</t>
        </is>
      </c>
      <c r="G174" s="3" t="inlineStr">
        <is>
          <t>Setting saves.</t>
        </is>
      </c>
      <c r="H174" s="3" t="inlineStr">
        <is>
          <t>— Not tested</t>
        </is>
      </c>
      <c r="I174" s="3" t="inlineStr">
        <is>
          <t>— Not tested</t>
        </is>
      </c>
      <c r="J174" s="3" t="inlineStr">
        <is>
          <t>— Not tested</t>
        </is>
      </c>
    </row>
    <row r="175">
      <c r="A175" s="7" t="n">
        <v>174</v>
      </c>
      <c r="B175" s="7" t="inlineStr">
        <is>
          <t>2 — Sessions</t>
        </is>
      </c>
      <c r="C175" s="7" t="n">
        <v>19</v>
      </c>
      <c r="D175" s="7" t="inlineStr">
        <is>
          <t>Add Session Modal — Prop Firm Rules</t>
        </is>
      </c>
      <c r="E175" s="3" t="inlineStr">
        <is>
          <t>P2</t>
        </is>
      </c>
      <c r="F175" s="3" t="inlineStr">
        <is>
          <t>**Consistency rule** toggle + %.</t>
        </is>
      </c>
      <c r="G175" s="3" t="inlineStr">
        <is>
          <t>Fields work together.</t>
        </is>
      </c>
      <c r="H175" s="3" t="inlineStr">
        <is>
          <t>— Not tested</t>
        </is>
      </c>
      <c r="I175" s="3" t="inlineStr">
        <is>
          <t>— Not tested</t>
        </is>
      </c>
      <c r="J175" s="3" t="inlineStr">
        <is>
          <t>— Not tested</t>
        </is>
      </c>
    </row>
    <row r="176">
      <c r="A176" s="7" t="n">
        <v>175</v>
      </c>
      <c r="B176" s="7" t="inlineStr">
        <is>
          <t>2 — Sessions</t>
        </is>
      </c>
      <c r="C176" s="7" t="n">
        <v>19</v>
      </c>
      <c r="D176" s="7" t="inlineStr">
        <is>
          <t>Add Session Modal — Prop Firm Rules</t>
        </is>
      </c>
      <c r="E176" s="3" t="inlineStr">
        <is>
          <t>P2</t>
        </is>
      </c>
      <c r="F176" s="3" t="inlineStr">
        <is>
          <t>**Weekend holding** allowed toggle.</t>
        </is>
      </c>
      <c r="G176" s="3" t="inlineStr">
        <is>
          <t>Saves.</t>
        </is>
      </c>
      <c r="H176" s="3" t="inlineStr">
        <is>
          <t>— Not tested</t>
        </is>
      </c>
      <c r="I176" s="3" t="inlineStr">
        <is>
          <t>— Not tested</t>
        </is>
      </c>
      <c r="J176" s="3" t="inlineStr">
        <is>
          <t>— Not tested</t>
        </is>
      </c>
    </row>
    <row r="177">
      <c r="A177" s="7" t="n">
        <v>176</v>
      </c>
      <c r="B177" s="7" t="inlineStr">
        <is>
          <t>2 — Sessions</t>
        </is>
      </c>
      <c r="C177" s="7" t="n">
        <v>19</v>
      </c>
      <c r="D177" s="7" t="inlineStr">
        <is>
          <t>Add Session Modal — Prop Firm Rules</t>
        </is>
      </c>
      <c r="E177" s="3" t="inlineStr">
        <is>
          <t>P2</t>
        </is>
      </c>
      <c r="F177" s="3" t="inlineStr">
        <is>
          <t>**Max contracts/lots** toggle + value.</t>
        </is>
      </c>
      <c r="G177" s="3" t="inlineStr">
        <is>
          <t>Saves.</t>
        </is>
      </c>
      <c r="H177" s="3" t="inlineStr">
        <is>
          <t>— Not tested</t>
        </is>
      </c>
      <c r="I177" s="3" t="inlineStr">
        <is>
          <t>— Not tested</t>
        </is>
      </c>
      <c r="J177" s="3" t="inlineStr">
        <is>
          <t>— Not tested</t>
        </is>
      </c>
    </row>
    <row r="178">
      <c r="A178" s="7" t="n">
        <v>177</v>
      </c>
      <c r="B178" s="7" t="inlineStr">
        <is>
          <t>2 — Sessions</t>
        </is>
      </c>
      <c r="C178" s="7" t="n">
        <v>20</v>
      </c>
      <c r="D178" s="7" t="inlineStr">
        <is>
          <t>Add Session Modal — Save, Start &amp; Limits</t>
        </is>
      </c>
      <c r="E178" s="3" t="inlineStr">
        <is>
          <t>P0</t>
        </is>
      </c>
      <c r="F178" s="3" t="inlineStr">
        <is>
          <t>Fill all required fields; click **Save** (without launch).</t>
        </is>
      </c>
      <c r="G178" s="3" t="inlineStr">
        <is>
          <t>Session created; appears in list as Not Started.</t>
        </is>
      </c>
      <c r="H178" s="3" t="inlineStr">
        <is>
          <t>— Not tested</t>
        </is>
      </c>
      <c r="I178" s="3" t="inlineStr">
        <is>
          <t>— Not tested</t>
        </is>
      </c>
      <c r="J178" s="3" t="inlineStr">
        <is>
          <t>— Not tested</t>
        </is>
      </c>
    </row>
    <row r="179">
      <c r="A179" s="7" t="n">
        <v>178</v>
      </c>
      <c r="B179" s="7" t="inlineStr">
        <is>
          <t>2 — Sessions</t>
        </is>
      </c>
      <c r="C179" s="7" t="n">
        <v>20</v>
      </c>
      <c r="D179" s="7" t="inlineStr">
        <is>
          <t>Add Session Modal — Save, Start &amp; Limits</t>
        </is>
      </c>
      <c r="E179" s="3" t="inlineStr">
        <is>
          <t>P0</t>
        </is>
      </c>
      <c r="F179" s="3" t="inlineStr">
        <is>
          <t>Create another session; click **Start Session**.</t>
        </is>
      </c>
      <c r="G179" s="3" t="inlineStr">
        <is>
          <t>Session saves and redirects to chart/backtest.</t>
        </is>
      </c>
      <c r="H179" s="3" t="inlineStr">
        <is>
          <t>— Not tested</t>
        </is>
      </c>
      <c r="I179" s="3" t="inlineStr">
        <is>
          <t>— Not tested</t>
        </is>
      </c>
      <c r="J179" s="3" t="inlineStr">
        <is>
          <t>— Not tested</t>
        </is>
      </c>
    </row>
    <row r="180">
      <c r="A180" s="7" t="n">
        <v>179</v>
      </c>
      <c r="B180" s="7" t="inlineStr">
        <is>
          <t>2 — Sessions</t>
        </is>
      </c>
      <c r="C180" s="7" t="n">
        <v>20</v>
      </c>
      <c r="D180" s="7" t="inlineStr">
        <is>
          <t>Add Session Modal — Save, Start &amp; Limits</t>
        </is>
      </c>
      <c r="E180" s="3" t="inlineStr">
        <is>
          <t>P0</t>
        </is>
      </c>
      <c r="F180" s="3" t="inlineStr">
        <is>
          <t>Leave required field empty — verify Save/Start stay disabled.</t>
        </is>
      </c>
      <c r="G180" s="3" t="inlineStr">
        <is>
          <t>Cannot submit incomplete form.</t>
        </is>
      </c>
      <c r="H180" s="3" t="inlineStr">
        <is>
          <t>— Not tested</t>
        </is>
      </c>
      <c r="I180" s="3" t="inlineStr">
        <is>
          <t>— Not tested</t>
        </is>
      </c>
      <c r="J180" s="3" t="inlineStr">
        <is>
          <t>— Not tested</t>
        </is>
      </c>
    </row>
    <row r="181">
      <c r="A181" s="7" t="n">
        <v>180</v>
      </c>
      <c r="B181" s="7" t="inlineStr">
        <is>
          <t>2 — Sessions</t>
        </is>
      </c>
      <c r="C181" s="7" t="n">
        <v>20</v>
      </c>
      <c r="D181" s="7" t="inlineStr">
        <is>
          <t>Add Session Modal — Save, Start &amp; Limits</t>
        </is>
      </c>
      <c r="E181" s="3" t="inlineStr">
        <is>
          <t>P1</t>
        </is>
      </c>
      <c r="F181" s="3" t="inlineStr">
        <is>
          <t>If at plan session cap, try creating another.</t>
        </is>
      </c>
      <c r="G181" s="3" t="inlineStr">
        <is>
          <t>Session limit modal appears with upgrade message.</t>
        </is>
      </c>
      <c r="H181" s="3" t="inlineStr">
        <is>
          <t>— Not tested</t>
        </is>
      </c>
      <c r="I181" s="3" t="inlineStr">
        <is>
          <t>— Not tested</t>
        </is>
      </c>
      <c r="J181" s="3" t="inlineStr">
        <is>
          <t>— Not tested</t>
        </is>
      </c>
    </row>
    <row r="182">
      <c r="A182" s="7" t="n">
        <v>181</v>
      </c>
      <c r="B182" s="7" t="inlineStr">
        <is>
          <t>2 — Sessions</t>
        </is>
      </c>
      <c r="C182" s="7" t="n">
        <v>20</v>
      </c>
      <c r="D182" s="7" t="inlineStr">
        <is>
          <t>Add Session Modal — Save, Start &amp; Limits</t>
        </is>
      </c>
      <c r="E182" s="3" t="inlineStr">
        <is>
          <t>P0</t>
        </is>
      </c>
      <c r="F182" s="3" t="inlineStr">
        <is>
          <t>Edit a not-started session via list ⋯ → Edit; change name; Save.</t>
        </is>
      </c>
      <c r="G182" s="3" t="inlineStr">
        <is>
          <t>Changes persist.</t>
        </is>
      </c>
      <c r="H182" s="3" t="inlineStr">
        <is>
          <t>— Not tested</t>
        </is>
      </c>
      <c r="I182" s="3" t="inlineStr">
        <is>
          <t>— Not tested</t>
        </is>
      </c>
      <c r="J182" s="3" t="inlineStr">
        <is>
          <t>— Not tested</t>
        </is>
      </c>
    </row>
    <row r="183">
      <c r="A183" s="8" t="n">
        <v>182</v>
      </c>
      <c r="B183" s="8" t="inlineStr">
        <is>
          <t>3 — Trades</t>
        </is>
      </c>
      <c r="C183" s="8" t="n">
        <v>21</v>
      </c>
      <c r="D183" s="8" t="inlineStr">
        <is>
          <t>Navigate to Trades Page</t>
        </is>
      </c>
      <c r="E183" s="3" t="inlineStr">
        <is>
          <t>P0</t>
        </is>
      </c>
      <c r="F183" s="3" t="inlineStr">
        <is>
          <t>Click **Trades** in left navigation.</t>
        </is>
      </c>
      <c r="G183" s="3" t="inlineStr">
        <is>
          <t>Trades page opens with trade table.</t>
        </is>
      </c>
      <c r="H183" s="3" t="inlineStr">
        <is>
          <t>— Not tested</t>
        </is>
      </c>
      <c r="I183" s="3" t="inlineStr">
        <is>
          <t>— Not tested</t>
        </is>
      </c>
      <c r="J183" s="3" t="inlineStr">
        <is>
          <t>— Not tested</t>
        </is>
      </c>
    </row>
    <row r="184">
      <c r="A184" s="8" t="n">
        <v>183</v>
      </c>
      <c r="B184" s="8" t="inlineStr">
        <is>
          <t>3 — Trades</t>
        </is>
      </c>
      <c r="C184" s="8" t="n">
        <v>21</v>
      </c>
      <c r="D184" s="8" t="inlineStr">
        <is>
          <t>Navigate to Trades Page</t>
        </is>
      </c>
      <c r="E184" s="3" t="inlineStr">
        <is>
          <t>P0</t>
        </is>
      </c>
      <c r="F184" s="3" t="inlineStr">
        <is>
          <t>Verify **source switcher** in header shows current applied source.</t>
        </is>
      </c>
      <c r="G184" s="3" t="inlineStr">
        <is>
          <t>Label matches active source or “select source”.</t>
        </is>
      </c>
      <c r="H184" s="3" t="inlineStr">
        <is>
          <t>— Not tested</t>
        </is>
      </c>
      <c r="I184" s="3" t="inlineStr">
        <is>
          <t>— Not tested</t>
        </is>
      </c>
      <c r="J184" s="3" t="inlineStr">
        <is>
          <t>— Not tested</t>
        </is>
      </c>
    </row>
    <row r="185">
      <c r="A185" s="8" t="n">
        <v>184</v>
      </c>
      <c r="B185" s="8" t="inlineStr">
        <is>
          <t>3 — Trades</t>
        </is>
      </c>
      <c r="C185" s="8" t="n">
        <v>22</v>
      </c>
      <c r="D185" s="8" t="inlineStr">
        <is>
          <t>Trades Page — Header Controls</t>
        </is>
      </c>
      <c r="E185" s="3" t="inlineStr">
        <is>
          <t>P0</t>
        </is>
      </c>
      <c r="F185" s="3" t="inlineStr">
        <is>
          <t>Click **source switcher**.</t>
        </is>
      </c>
      <c r="G185" s="3" t="inlineStr">
        <is>
          <t>Sources library opens (or source picker).</t>
        </is>
      </c>
      <c r="H185" s="3" t="inlineStr">
        <is>
          <t>— Not tested</t>
        </is>
      </c>
      <c r="I185" s="3" t="inlineStr">
        <is>
          <t>— Not tested</t>
        </is>
      </c>
      <c r="J185" s="3" t="inlineStr">
        <is>
          <t>— Not tested</t>
        </is>
      </c>
    </row>
    <row r="186">
      <c r="A186" s="8" t="n">
        <v>185</v>
      </c>
      <c r="B186" s="8" t="inlineStr">
        <is>
          <t>3 — Trades</t>
        </is>
      </c>
      <c r="C186" s="8" t="n">
        <v>22</v>
      </c>
      <c r="D186" s="8" t="inlineStr">
        <is>
          <t>Trades Page — Header Controls</t>
        </is>
      </c>
      <c r="E186" s="3" t="inlineStr">
        <is>
          <t>P0</t>
        </is>
      </c>
      <c r="F186" s="3" t="inlineStr">
        <is>
          <t>Open **Filters**.</t>
        </is>
      </c>
      <c r="G186" s="3" t="inlineStr">
        <is>
          <t>Filters panel/window opens with date, scope, tags, outcome options.</t>
        </is>
      </c>
      <c r="H186" s="3" t="inlineStr">
        <is>
          <t>— Not tested</t>
        </is>
      </c>
      <c r="I186" s="3" t="inlineStr">
        <is>
          <t>— Not tested</t>
        </is>
      </c>
      <c r="J186" s="3" t="inlineStr">
        <is>
          <t>— Not tested</t>
        </is>
      </c>
    </row>
    <row r="187">
      <c r="A187" s="8" t="n">
        <v>186</v>
      </c>
      <c r="B187" s="8" t="inlineStr">
        <is>
          <t>3 — Trades</t>
        </is>
      </c>
      <c r="C187" s="8" t="n">
        <v>22</v>
      </c>
      <c r="D187" s="8" t="inlineStr">
        <is>
          <t>Trades Page — Header Controls</t>
        </is>
      </c>
      <c r="E187" s="3" t="inlineStr">
        <is>
          <t>P1</t>
        </is>
      </c>
      <c r="F187" s="3" t="inlineStr">
        <is>
          <t>Apply a date range filter.</t>
        </is>
      </c>
      <c r="G187" s="3" t="inlineStr">
        <is>
          <t>Table shows only trades in range.</t>
        </is>
      </c>
      <c r="H187" s="3" t="inlineStr">
        <is>
          <t>— Not tested</t>
        </is>
      </c>
      <c r="I187" s="3" t="inlineStr">
        <is>
          <t>— Not tested</t>
        </is>
      </c>
      <c r="J187" s="3" t="inlineStr">
        <is>
          <t>— Not tested</t>
        </is>
      </c>
    </row>
    <row r="188">
      <c r="A188" s="8" t="n">
        <v>187</v>
      </c>
      <c r="B188" s="8" t="inlineStr">
        <is>
          <t>3 — Trades</t>
        </is>
      </c>
      <c r="C188" s="8" t="n">
        <v>22</v>
      </c>
      <c r="D188" s="8" t="inlineStr">
        <is>
          <t>Trades Page — Header Controls</t>
        </is>
      </c>
      <c r="E188" s="3" t="inlineStr">
        <is>
          <t>P1</t>
        </is>
      </c>
      <c r="F188" s="3" t="inlineStr">
        <is>
          <t>Clear filters.</t>
        </is>
      </c>
      <c r="G188" s="3" t="inlineStr">
        <is>
          <t>Full trade list returns.</t>
        </is>
      </c>
      <c r="H188" s="3" t="inlineStr">
        <is>
          <t>— Not tested</t>
        </is>
      </c>
      <c r="I188" s="3" t="inlineStr">
        <is>
          <t>— Not tested</t>
        </is>
      </c>
      <c r="J188" s="3" t="inlineStr">
        <is>
          <t>— Not tested</t>
        </is>
      </c>
    </row>
    <row r="189">
      <c r="A189" s="8" t="n">
        <v>188</v>
      </c>
      <c r="B189" s="8" t="inlineStr">
        <is>
          <t>3 — Trades</t>
        </is>
      </c>
      <c r="C189" s="8" t="n">
        <v>22</v>
      </c>
      <c r="D189" s="8" t="inlineStr">
        <is>
          <t>Trades Page — Header Controls</t>
        </is>
      </c>
      <c r="E189" s="3" t="inlineStr">
        <is>
          <t>P1</t>
        </is>
      </c>
      <c r="F189" s="3" t="inlineStr">
        <is>
          <t>Enable **Compare mode** (if button exists).</t>
        </is>
      </c>
      <c r="G189" s="3" t="inlineStr">
        <is>
          <t>Compare source picker opens.</t>
        </is>
      </c>
      <c r="H189" s="3" t="inlineStr">
        <is>
          <t>— Not tested</t>
        </is>
      </c>
      <c r="I189" s="3" t="inlineStr">
        <is>
          <t>— Not tested</t>
        </is>
      </c>
      <c r="J189" s="3" t="inlineStr">
        <is>
          <t>— Not tested</t>
        </is>
      </c>
    </row>
    <row r="190">
      <c r="A190" s="8" t="n">
        <v>189</v>
      </c>
      <c r="B190" s="8" t="inlineStr">
        <is>
          <t>3 — Trades</t>
        </is>
      </c>
      <c r="C190" s="8" t="n">
        <v>22</v>
      </c>
      <c r="D190" s="8" t="inlineStr">
        <is>
          <t>Trades Page — Header Controls</t>
        </is>
      </c>
      <c r="E190" s="3" t="inlineStr">
        <is>
          <t>P1</t>
        </is>
      </c>
      <c r="F190" s="3" t="inlineStr">
        <is>
          <t>Click **Import** — select a CSV file.</t>
        </is>
      </c>
      <c r="G190" s="3" t="inlineStr">
        <is>
          <t>Import runs; success or error message; table updates.</t>
        </is>
      </c>
      <c r="H190" s="3" t="inlineStr">
        <is>
          <t>— Not tested</t>
        </is>
      </c>
      <c r="I190" s="3" t="inlineStr">
        <is>
          <t>— Not tested</t>
        </is>
      </c>
      <c r="J190" s="3" t="inlineStr">
        <is>
          <t>— Not tested</t>
        </is>
      </c>
    </row>
    <row r="191">
      <c r="A191" s="8" t="n">
        <v>190</v>
      </c>
      <c r="B191" s="8" t="inlineStr">
        <is>
          <t>3 — Trades</t>
        </is>
      </c>
      <c r="C191" s="8" t="n">
        <v>22</v>
      </c>
      <c r="D191" s="8" t="inlineStr">
        <is>
          <t>Trades Page — Header Controls</t>
        </is>
      </c>
      <c r="E191" s="3" t="inlineStr">
        <is>
          <t>P1</t>
        </is>
      </c>
      <c r="F191" s="3" t="inlineStr">
        <is>
          <t>Click **Export** with trades present.</t>
        </is>
      </c>
      <c r="G191" s="3" t="inlineStr">
        <is>
          <t>CSV file downloads.</t>
        </is>
      </c>
      <c r="H191" s="3" t="inlineStr">
        <is>
          <t>— Not tested</t>
        </is>
      </c>
      <c r="I191" s="3" t="inlineStr">
        <is>
          <t>— Not tested</t>
        </is>
      </c>
      <c r="J191" s="3" t="inlineStr">
        <is>
          <t>— Not tested</t>
        </is>
      </c>
    </row>
    <row r="192">
      <c r="A192" s="8" t="n">
        <v>191</v>
      </c>
      <c r="B192" s="8" t="inlineStr">
        <is>
          <t>3 — Trades</t>
        </is>
      </c>
      <c r="C192" s="8" t="n">
        <v>22</v>
      </c>
      <c r="D192" s="8" t="inlineStr">
        <is>
          <t>Trades Page — Header Controls</t>
        </is>
      </c>
      <c r="E192" s="3" t="inlineStr">
        <is>
          <t>P2</t>
        </is>
      </c>
      <c r="F192" s="3" t="inlineStr">
        <is>
          <t>Click **Export** with zero trades.</t>
        </is>
      </c>
      <c r="G192" s="3" t="inlineStr">
        <is>
          <t>Button disabled or message shown.</t>
        </is>
      </c>
      <c r="H192" s="3" t="inlineStr">
        <is>
          <t>— Not tested</t>
        </is>
      </c>
      <c r="I192" s="3" t="inlineStr">
        <is>
          <t>— Not tested</t>
        </is>
      </c>
      <c r="J192" s="3" t="inlineStr">
        <is>
          <t>— Not tested</t>
        </is>
      </c>
    </row>
    <row r="193">
      <c r="A193" s="8" t="n">
        <v>192</v>
      </c>
      <c r="B193" s="8" t="inlineStr">
        <is>
          <t>3 — Trades</t>
        </is>
      </c>
      <c r="C193" s="8" t="n">
        <v>22</v>
      </c>
      <c r="D193" s="8" t="inlineStr">
        <is>
          <t>Trades Page — Header Controls</t>
        </is>
      </c>
      <c r="E193" s="3" t="inlineStr">
        <is>
          <t>P0</t>
        </is>
      </c>
      <c r="F193" s="3" t="inlineStr">
        <is>
          <t>Click **Add Trade**.</t>
        </is>
      </c>
      <c r="G193" s="3" t="inlineStr">
        <is>
          <t>Source picker opens (or editor if single source).</t>
        </is>
      </c>
      <c r="H193" s="3" t="inlineStr">
        <is>
          <t>— Not tested</t>
        </is>
      </c>
      <c r="I193" s="3" t="inlineStr">
        <is>
          <t>— Not tested</t>
        </is>
      </c>
      <c r="J193" s="3" t="inlineStr">
        <is>
          <t>— Not tested</t>
        </is>
      </c>
    </row>
    <row r="194">
      <c r="A194" s="8" t="n">
        <v>193</v>
      </c>
      <c r="B194" s="8" t="inlineStr">
        <is>
          <t>3 — Trades</t>
        </is>
      </c>
      <c r="C194" s="8" t="n">
        <v>23</v>
      </c>
      <c r="D194" s="8" t="inlineStr">
        <is>
          <t>Trades Table — Columns &amp; Sorting</t>
        </is>
      </c>
      <c r="E194" s="3" t="inlineStr">
        <is>
          <t>P0</t>
        </is>
      </c>
      <c r="F194" s="3" t="inlineStr">
        <is>
          <t>Verify default columns: Trade ID, Source, Date, Symbol, Side, Qty, Status, Net P&amp;L, R, etc.</t>
        </is>
      </c>
      <c r="G194" s="3" t="inlineStr">
        <is>
          <t>Columns render with data.</t>
        </is>
      </c>
      <c r="H194" s="3" t="inlineStr">
        <is>
          <t>— Not tested</t>
        </is>
      </c>
      <c r="I194" s="3" t="inlineStr">
        <is>
          <t>— Not tested</t>
        </is>
      </c>
      <c r="J194" s="3" t="inlineStr">
        <is>
          <t>— Not tested</t>
        </is>
      </c>
    </row>
    <row r="195">
      <c r="A195" s="8" t="n">
        <v>194</v>
      </c>
      <c r="B195" s="8" t="inlineStr">
        <is>
          <t>3 — Trades</t>
        </is>
      </c>
      <c r="C195" s="8" t="n">
        <v>23</v>
      </c>
      <c r="D195" s="8" t="inlineStr">
        <is>
          <t>Trades Table — Columns &amp; Sorting</t>
        </is>
      </c>
      <c r="E195" s="3" t="inlineStr">
        <is>
          <t>P1</t>
        </is>
      </c>
      <c r="F195" s="3" t="inlineStr">
        <is>
          <t>Open **column picker** — toggle optional columns.</t>
        </is>
      </c>
      <c r="G195" s="3" t="inlineStr">
        <is>
          <t>Columns show/hide in table.</t>
        </is>
      </c>
      <c r="H195" s="3" t="inlineStr">
        <is>
          <t>— Not tested</t>
        </is>
      </c>
      <c r="I195" s="3" t="inlineStr">
        <is>
          <t>— Not tested</t>
        </is>
      </c>
      <c r="J195" s="3" t="inlineStr">
        <is>
          <t>— Not tested</t>
        </is>
      </c>
    </row>
    <row r="196">
      <c r="A196" s="8" t="n">
        <v>195</v>
      </c>
      <c r="B196" s="8" t="inlineStr">
        <is>
          <t>3 — Trades</t>
        </is>
      </c>
      <c r="C196" s="8" t="n">
        <v>23</v>
      </c>
      <c r="D196" s="8" t="inlineStr">
        <is>
          <t>Trades Table — Columns &amp; Sorting</t>
        </is>
      </c>
      <c r="E196" s="3" t="inlineStr">
        <is>
          <t>P2</t>
        </is>
      </c>
      <c r="F196" s="3" t="inlineStr">
        <is>
          <t>Save a **custom column view** with a name.</t>
        </is>
      </c>
      <c r="G196" s="3" t="inlineStr">
        <is>
          <t>View restores when re-selected.</t>
        </is>
      </c>
      <c r="H196" s="3" t="inlineStr">
        <is>
          <t>— Not tested</t>
        </is>
      </c>
      <c r="I196" s="3" t="inlineStr">
        <is>
          <t>— Not tested</t>
        </is>
      </c>
      <c r="J196" s="3" t="inlineStr">
        <is>
          <t>— Not tested</t>
        </is>
      </c>
    </row>
    <row r="197">
      <c r="A197" s="8" t="n">
        <v>196</v>
      </c>
      <c r="B197" s="8" t="inlineStr">
        <is>
          <t>3 — Trades</t>
        </is>
      </c>
      <c r="C197" s="8" t="n">
        <v>23</v>
      </c>
      <c r="D197" s="8" t="inlineStr">
        <is>
          <t>Trades Table — Columns &amp; Sorting</t>
        </is>
      </c>
      <c r="E197" s="3" t="inlineStr">
        <is>
          <t>P1</t>
        </is>
      </c>
      <c r="F197" s="3" t="inlineStr">
        <is>
          <t>Click a column header to sort ascending.</t>
        </is>
      </c>
      <c r="G197" s="3" t="inlineStr">
        <is>
          <t>Rows re-order.</t>
        </is>
      </c>
      <c r="H197" s="3" t="inlineStr">
        <is>
          <t>— Not tested</t>
        </is>
      </c>
      <c r="I197" s="3" t="inlineStr">
        <is>
          <t>— Not tested</t>
        </is>
      </c>
      <c r="J197" s="3" t="inlineStr">
        <is>
          <t>— Not tested</t>
        </is>
      </c>
    </row>
    <row r="198">
      <c r="A198" s="8" t="n">
        <v>197</v>
      </c>
      <c r="B198" s="8" t="inlineStr">
        <is>
          <t>3 — Trades</t>
        </is>
      </c>
      <c r="C198" s="8" t="n">
        <v>23</v>
      </c>
      <c r="D198" s="8" t="inlineStr">
        <is>
          <t>Trades Table — Columns &amp; Sorting</t>
        </is>
      </c>
      <c r="E198" s="3" t="inlineStr">
        <is>
          <t>P1</t>
        </is>
      </c>
      <c r="F198" s="3" t="inlineStr">
        <is>
          <t>Click again for descending.</t>
        </is>
      </c>
      <c r="G198" s="3" t="inlineStr">
        <is>
          <t>Order reverses.</t>
        </is>
      </c>
      <c r="H198" s="3" t="inlineStr">
        <is>
          <t>— Not tested</t>
        </is>
      </c>
      <c r="I198" s="3" t="inlineStr">
        <is>
          <t>— Not tested</t>
        </is>
      </c>
      <c r="J198" s="3" t="inlineStr">
        <is>
          <t>— Not tested</t>
        </is>
      </c>
    </row>
    <row r="199">
      <c r="A199" s="8" t="n">
        <v>198</v>
      </c>
      <c r="B199" s="8" t="inlineStr">
        <is>
          <t>3 — Trades</t>
        </is>
      </c>
      <c r="C199" s="8" t="n">
        <v>23</v>
      </c>
      <c r="D199" s="8" t="inlineStr">
        <is>
          <t>Trades Table — Columns &amp; Sorting</t>
        </is>
      </c>
      <c r="E199" s="3" t="inlineStr">
        <is>
          <t>P0</t>
        </is>
      </c>
      <c r="F199" s="3" t="inlineStr">
        <is>
          <t>Click **row** to expand detail panel.</t>
        </is>
      </c>
      <c r="G199" s="3" t="inlineStr">
        <is>
          <t>Expanded section shows prices, R, excursion, tags, notes.</t>
        </is>
      </c>
      <c r="H199" s="3" t="inlineStr">
        <is>
          <t>— Not tested</t>
        </is>
      </c>
      <c r="I199" s="3" t="inlineStr">
        <is>
          <t>— Not tested</t>
        </is>
      </c>
      <c r="J199" s="3" t="inlineStr">
        <is>
          <t>— Not tested</t>
        </is>
      </c>
    </row>
    <row r="200">
      <c r="A200" s="8" t="n">
        <v>199</v>
      </c>
      <c r="B200" s="8" t="inlineStr">
        <is>
          <t>3 — Trades</t>
        </is>
      </c>
      <c r="C200" s="8" t="n">
        <v>23</v>
      </c>
      <c r="D200" s="8" t="inlineStr">
        <is>
          <t>Trades Table — Columns &amp; Sorting</t>
        </is>
      </c>
      <c r="E200" s="3" t="inlineStr">
        <is>
          <t>P0</t>
        </is>
      </c>
      <c r="F200" s="3" t="inlineStr">
        <is>
          <t>From expanded row click **Edit Trade**.</t>
        </is>
      </c>
      <c r="G200" s="3" t="inlineStr">
        <is>
          <t>Add Trade editor opens with trade data.</t>
        </is>
      </c>
      <c r="H200" s="3" t="inlineStr">
        <is>
          <t>— Not tested</t>
        </is>
      </c>
      <c r="I200" s="3" t="inlineStr">
        <is>
          <t>— Not tested</t>
        </is>
      </c>
      <c r="J200" s="3" t="inlineStr">
        <is>
          <t>— Not tested</t>
        </is>
      </c>
    </row>
    <row r="201">
      <c r="A201" s="8" t="n">
        <v>200</v>
      </c>
      <c r="B201" s="8" t="inlineStr">
        <is>
          <t>3 — Trades</t>
        </is>
      </c>
      <c r="C201" s="8" t="n">
        <v>23</v>
      </c>
      <c r="D201" s="8" t="inlineStr">
        <is>
          <t>Trades Table — Columns &amp; Sorting</t>
        </is>
      </c>
      <c r="E201" s="3" t="inlineStr">
        <is>
          <t>P1</t>
        </is>
      </c>
      <c r="F201" s="3" t="inlineStr">
        <is>
          <t>Verify **Manual** vs **Auto** source badge on rows.</t>
        </is>
      </c>
      <c r="G201" s="3" t="inlineStr">
        <is>
          <t>Correct badge per trade origin.</t>
        </is>
      </c>
      <c r="H201" s="3" t="inlineStr">
        <is>
          <t>— Not tested</t>
        </is>
      </c>
      <c r="I201" s="3" t="inlineStr">
        <is>
          <t>— Not tested</t>
        </is>
      </c>
      <c r="J201" s="3" t="inlineStr">
        <is>
          <t>— Not tested</t>
        </is>
      </c>
    </row>
    <row r="202">
      <c r="A202" s="8" t="n">
        <v>201</v>
      </c>
      <c r="B202" s="8" t="inlineStr">
        <is>
          <t>3 — Trades</t>
        </is>
      </c>
      <c r="C202" s="8" t="n">
        <v>23</v>
      </c>
      <c r="D202" s="8" t="inlineStr">
        <is>
          <t>Trades Table — Columns &amp; Sorting</t>
        </is>
      </c>
      <c r="E202" s="3" t="inlineStr">
        <is>
          <t>P2</t>
        </is>
      </c>
      <c r="F202" s="3" t="inlineStr">
        <is>
          <t>Verify **edited** badge on modified trades.</t>
        </is>
      </c>
      <c r="G202" s="3" t="inlineStr">
        <is>
          <t>Edited indicator shows.</t>
        </is>
      </c>
      <c r="H202" s="3" t="inlineStr">
        <is>
          <t>— Not tested</t>
        </is>
      </c>
      <c r="I202" s="3" t="inlineStr">
        <is>
          <t>— Not tested</t>
        </is>
      </c>
      <c r="J202" s="3" t="inlineStr">
        <is>
          <t>— Not tested</t>
        </is>
      </c>
    </row>
    <row r="203">
      <c r="A203" s="8" t="n">
        <v>202</v>
      </c>
      <c r="B203" s="8" t="inlineStr">
        <is>
          <t>3 — Trades</t>
        </is>
      </c>
      <c r="C203" s="8" t="n">
        <v>23</v>
      </c>
      <c r="D203" s="8" t="inlineStr">
        <is>
          <t>Trades Table — Columns &amp; Sorting</t>
        </is>
      </c>
      <c r="E203" s="3" t="inlineStr">
        <is>
          <t>P2</t>
        </is>
      </c>
      <c r="F203" s="3" t="inlineStr">
        <is>
          <t>Verify discipline label: According to Plan / Out of Plan / Missed Trade.</t>
        </is>
      </c>
      <c r="G203" s="3" t="inlineStr">
        <is>
          <t>Label matches trade data.</t>
        </is>
      </c>
      <c r="H203" s="3" t="inlineStr">
        <is>
          <t>— Not tested</t>
        </is>
      </c>
      <c r="I203" s="3" t="inlineStr">
        <is>
          <t>— Not tested</t>
        </is>
      </c>
      <c r="J203" s="3" t="inlineStr">
        <is>
          <t>— Not tested</t>
        </is>
      </c>
    </row>
    <row r="204">
      <c r="A204" s="8" t="n">
        <v>203</v>
      </c>
      <c r="B204" s="8" t="inlineStr">
        <is>
          <t>3 — Trades</t>
        </is>
      </c>
      <c r="C204" s="8" t="n">
        <v>24</v>
      </c>
      <c r="D204" s="8" t="inlineStr">
        <is>
          <t>Add Trade — Source Picker</t>
        </is>
      </c>
      <c r="E204" s="3" t="inlineStr">
        <is>
          <t>P0</t>
        </is>
      </c>
      <c r="F204" s="3" t="inlineStr">
        <is>
          <t>Click **Add Trade**.</t>
        </is>
      </c>
      <c r="G204" s="3" t="inlineStr">
        <is>
          <t>Source picker lists backtest sessions and journals.</t>
        </is>
      </c>
      <c r="H204" s="3" t="inlineStr">
        <is>
          <t>— Not tested</t>
        </is>
      </c>
      <c r="I204" s="3" t="inlineStr">
        <is>
          <t>— Not tested</t>
        </is>
      </c>
      <c r="J204" s="3" t="inlineStr">
        <is>
          <t>— Not tested</t>
        </is>
      </c>
    </row>
    <row r="205">
      <c r="A205" s="8" t="n">
        <v>204</v>
      </c>
      <c r="B205" s="8" t="inlineStr">
        <is>
          <t>3 — Trades</t>
        </is>
      </c>
      <c r="C205" s="8" t="n">
        <v>24</v>
      </c>
      <c r="D205" s="8" t="inlineStr">
        <is>
          <t>Add Trade — Source Picker</t>
        </is>
      </c>
      <c r="E205" s="3" t="inlineStr">
        <is>
          <t>P2</t>
        </is>
      </c>
      <c r="F205" s="3" t="inlineStr">
        <is>
          <t>If only one eligible source, verify auto-select to editor.</t>
        </is>
      </c>
      <c r="G205" s="3" t="inlineStr">
        <is>
          <t>Skips picker when single source.</t>
        </is>
      </c>
      <c r="H205" s="3" t="inlineStr">
        <is>
          <t>— Not tested</t>
        </is>
      </c>
      <c r="I205" s="3" t="inlineStr">
        <is>
          <t>— Not tested</t>
        </is>
      </c>
      <c r="J205" s="3" t="inlineStr">
        <is>
          <t>— Not tested</t>
        </is>
      </c>
    </row>
    <row r="206">
      <c r="A206" s="8" t="n">
        <v>205</v>
      </c>
      <c r="B206" s="8" t="inlineStr">
        <is>
          <t>3 — Trades</t>
        </is>
      </c>
      <c r="C206" s="8" t="n">
        <v>24</v>
      </c>
      <c r="D206" s="8" t="inlineStr">
        <is>
          <t>Add Trade — Source Picker</t>
        </is>
      </c>
      <c r="E206" s="3" t="inlineStr">
        <is>
          <t>P0</t>
        </is>
      </c>
      <c r="F206" s="3" t="inlineStr">
        <is>
          <t>Select a **backtest session** source.</t>
        </is>
      </c>
      <c r="G206" s="3" t="inlineStr">
        <is>
          <t>Add Trade editor opens scoped to that session.</t>
        </is>
      </c>
      <c r="H206" s="3" t="inlineStr">
        <is>
          <t>— Not tested</t>
        </is>
      </c>
      <c r="I206" s="3" t="inlineStr">
        <is>
          <t>— Not tested</t>
        </is>
      </c>
      <c r="J206" s="3" t="inlineStr">
        <is>
          <t>— Not tested</t>
        </is>
      </c>
    </row>
    <row r="207">
      <c r="A207" s="8" t="n">
        <v>206</v>
      </c>
      <c r="B207" s="8" t="inlineStr">
        <is>
          <t>3 — Trades</t>
        </is>
      </c>
      <c r="C207" s="8" t="n">
        <v>24</v>
      </c>
      <c r="D207" s="8" t="inlineStr">
        <is>
          <t>Add Trade — Source Picker</t>
        </is>
      </c>
      <c r="E207" s="3" t="inlineStr">
        <is>
          <t>P0</t>
        </is>
      </c>
      <c r="F207" s="3" t="inlineStr">
        <is>
          <t>Select a **journal** source.</t>
        </is>
      </c>
      <c r="G207" s="3" t="inlineStr">
        <is>
          <t>Editor opens with journal-specific tabs (Discipline).</t>
        </is>
      </c>
      <c r="H207" s="3" t="inlineStr">
        <is>
          <t>— Not tested</t>
        </is>
      </c>
      <c r="I207" s="3" t="inlineStr">
        <is>
          <t>— Not tested</t>
        </is>
      </c>
      <c r="J207" s="3" t="inlineStr">
        <is>
          <t>— Not tested</t>
        </is>
      </c>
    </row>
    <row r="208">
      <c r="A208" s="8" t="n">
        <v>207</v>
      </c>
      <c r="B208" s="8" t="inlineStr">
        <is>
          <t>3 — Trades</t>
        </is>
      </c>
      <c r="C208" s="8" t="n">
        <v>24</v>
      </c>
      <c r="D208" s="8" t="inlineStr">
        <is>
          <t>Add Trade — Source Picker</t>
        </is>
      </c>
      <c r="E208" s="3" t="inlineStr">
        <is>
          <t>P2</t>
        </is>
      </c>
      <c r="F208" s="3" t="inlineStr">
        <is>
          <t>First-time warning modal — read and dismiss.</t>
        </is>
      </c>
      <c r="G208" s="3" t="inlineStr">
        <is>
          <t>Modal closes; checkbox “Don’t show again” works.</t>
        </is>
      </c>
      <c r="H208" s="3" t="inlineStr">
        <is>
          <t>— Not tested</t>
        </is>
      </c>
      <c r="I208" s="3" t="inlineStr">
        <is>
          <t>— Not tested</t>
        </is>
      </c>
      <c r="J208" s="3" t="inlineStr">
        <is>
          <t>— Not tested</t>
        </is>
      </c>
    </row>
    <row r="209">
      <c r="A209" s="8" t="n">
        <v>208</v>
      </c>
      <c r="B209" s="8" t="inlineStr">
        <is>
          <t>3 — Trades</t>
        </is>
      </c>
      <c r="C209" s="8" t="n">
        <v>25</v>
      </c>
      <c r="D209" s="8" t="inlineStr">
        <is>
          <t>Add Trade — Trade &amp; Risk Tab</t>
        </is>
      </c>
      <c r="E209" s="3" t="inlineStr">
        <is>
          <t>P0</t>
        </is>
      </c>
      <c r="F209" s="3" t="inlineStr">
        <is>
          <t>**Symbol** — open searchable dropdown; pick symbol.</t>
        </is>
      </c>
      <c r="G209" s="3" t="inlineStr">
        <is>
          <t>Symbol must be from source instrument list.</t>
        </is>
      </c>
      <c r="H209" s="3" t="inlineStr">
        <is>
          <t>— Not tested</t>
        </is>
      </c>
      <c r="I209" s="3" t="inlineStr">
        <is>
          <t>— Not tested</t>
        </is>
      </c>
      <c r="J209" s="3" t="inlineStr">
        <is>
          <t>— Not tested</t>
        </is>
      </c>
    </row>
    <row r="210">
      <c r="A210" s="8" t="n">
        <v>209</v>
      </c>
      <c r="B210" s="8" t="inlineStr">
        <is>
          <t>3 — Trades</t>
        </is>
      </c>
      <c r="C210" s="8" t="n">
        <v>25</v>
      </c>
      <c r="D210" s="8" t="inlineStr">
        <is>
          <t>Add Trade — Trade &amp; Risk Tab</t>
        </is>
      </c>
      <c r="E210" s="3" t="inlineStr">
        <is>
          <t>P0</t>
        </is>
      </c>
      <c r="F210" s="3" t="inlineStr">
        <is>
          <t>**Side** — toggle Long / Short.</t>
        </is>
      </c>
      <c r="G210" s="3" t="inlineStr">
        <is>
          <t>Side updates; SL/TP validation rules flip.</t>
        </is>
      </c>
      <c r="H210" s="3" t="inlineStr">
        <is>
          <t>— Not tested</t>
        </is>
      </c>
      <c r="I210" s="3" t="inlineStr">
        <is>
          <t>— Not tested</t>
        </is>
      </c>
      <c r="J210" s="3" t="inlineStr">
        <is>
          <t>— Not tested</t>
        </is>
      </c>
    </row>
    <row r="211">
      <c r="A211" s="8" t="n">
        <v>210</v>
      </c>
      <c r="B211" s="8" t="inlineStr">
        <is>
          <t>3 — Trades</t>
        </is>
      </c>
      <c r="C211" s="8" t="n">
        <v>25</v>
      </c>
      <c r="D211" s="8" t="inlineStr">
        <is>
          <t>Add Trade — Trade &amp; Risk Tab</t>
        </is>
      </c>
      <c r="E211" s="3" t="inlineStr">
        <is>
          <t>P2</t>
        </is>
      </c>
      <c r="F211" s="3" t="inlineStr">
        <is>
          <t>**Market** type field if shown.</t>
        </is>
      </c>
      <c r="G211" s="3" t="inlineStr">
        <is>
          <t>Market saves.</t>
        </is>
      </c>
      <c r="H211" s="3" t="inlineStr">
        <is>
          <t>— Not tested</t>
        </is>
      </c>
      <c r="I211" s="3" t="inlineStr">
        <is>
          <t>— Not tested</t>
        </is>
      </c>
      <c r="J211" s="3" t="inlineStr">
        <is>
          <t>— Not tested</t>
        </is>
      </c>
    </row>
    <row r="212">
      <c r="A212" s="8" t="n">
        <v>211</v>
      </c>
      <c r="B212" s="8" t="inlineStr">
        <is>
          <t>3 — Trades</t>
        </is>
      </c>
      <c r="C212" s="8" t="n">
        <v>25</v>
      </c>
      <c r="D212" s="8" t="inlineStr">
        <is>
          <t>Add Trade — Trade &amp; Risk Tab</t>
        </is>
      </c>
      <c r="E212" s="3" t="inlineStr">
        <is>
          <t>P0</t>
        </is>
      </c>
      <c r="F212" s="3" t="inlineStr">
        <is>
          <t>**Entry date** — open calendar; pick date.</t>
        </is>
      </c>
      <c r="G212" s="3" t="inlineStr">
        <is>
          <t>Date populates.</t>
        </is>
      </c>
      <c r="H212" s="3" t="inlineStr">
        <is>
          <t>— Not tested</t>
        </is>
      </c>
      <c r="I212" s="3" t="inlineStr">
        <is>
          <t>— Not tested</t>
        </is>
      </c>
      <c r="J212" s="3" t="inlineStr">
        <is>
          <t>— Not tested</t>
        </is>
      </c>
    </row>
    <row r="213">
      <c r="A213" s="8" t="n">
        <v>212</v>
      </c>
      <c r="B213" s="8" t="inlineStr">
        <is>
          <t>3 — Trades</t>
        </is>
      </c>
      <c r="C213" s="8" t="n">
        <v>25</v>
      </c>
      <c r="D213" s="8" t="inlineStr">
        <is>
          <t>Add Trade — Trade &amp; Risk Tab</t>
        </is>
      </c>
      <c r="E213" s="3" t="inlineStr">
        <is>
          <t>P1</t>
        </is>
      </c>
      <c r="F213" s="3" t="inlineStr">
        <is>
          <t>**Entry time** — set time; toggle 12h/24h or UTC/local if available.</t>
        </is>
      </c>
      <c r="G213" s="3" t="inlineStr">
        <is>
          <t>Time saves correctly.</t>
        </is>
      </c>
      <c r="H213" s="3" t="inlineStr">
        <is>
          <t>— Not tested</t>
        </is>
      </c>
      <c r="I213" s="3" t="inlineStr">
        <is>
          <t>— Not tested</t>
        </is>
      </c>
      <c r="J213" s="3" t="inlineStr">
        <is>
          <t>— Not tested</t>
        </is>
      </c>
    </row>
    <row r="214">
      <c r="A214" s="8" t="n">
        <v>213</v>
      </c>
      <c r="B214" s="8" t="inlineStr">
        <is>
          <t>3 — Trades</t>
        </is>
      </c>
      <c r="C214" s="8" t="n">
        <v>25</v>
      </c>
      <c r="D214" s="8" t="inlineStr">
        <is>
          <t>Add Trade — Trade &amp; Risk Tab</t>
        </is>
      </c>
      <c r="E214" s="3" t="inlineStr">
        <is>
          <t>P0</t>
        </is>
      </c>
      <c r="F214" s="3" t="inlineStr">
        <is>
          <t>**Entry rows** — row 1: enter price + quantity; use +/- steppers.</t>
        </is>
      </c>
      <c r="G214" s="3" t="inlineStr">
        <is>
          <t>Steppers increment values.</t>
        </is>
      </c>
      <c r="H214" s="3" t="inlineStr">
        <is>
          <t>— Not tested</t>
        </is>
      </c>
      <c r="I214" s="3" t="inlineStr">
        <is>
          <t>— Not tested</t>
        </is>
      </c>
      <c r="J214" s="3" t="inlineStr">
        <is>
          <t>— Not tested</t>
        </is>
      </c>
    </row>
    <row r="215">
      <c r="A215" s="8" t="n">
        <v>214</v>
      </c>
      <c r="B215" s="8" t="inlineStr">
        <is>
          <t>3 — Trades</t>
        </is>
      </c>
      <c r="C215" s="8" t="n">
        <v>25</v>
      </c>
      <c r="D215" s="8" t="inlineStr">
        <is>
          <t>Add Trade — Trade &amp; Risk Tab</t>
        </is>
      </c>
      <c r="E215" s="3" t="inlineStr">
        <is>
          <t>P1</t>
        </is>
      </c>
      <c r="F215" s="3" t="inlineStr">
        <is>
          <t>Add **second entry row** (scale-in).</t>
        </is>
      </c>
      <c r="G215" s="3" t="inlineStr">
        <is>
          <t>Multiple entries; avg entry recalculates.</t>
        </is>
      </c>
      <c r="H215" s="3" t="inlineStr">
        <is>
          <t>— Not tested</t>
        </is>
      </c>
      <c r="I215" s="3" t="inlineStr">
        <is>
          <t>— Not tested</t>
        </is>
      </c>
      <c r="J215" s="3" t="inlineStr">
        <is>
          <t>— Not tested</t>
        </is>
      </c>
    </row>
    <row r="216">
      <c r="A216" s="8" t="n">
        <v>215</v>
      </c>
      <c r="B216" s="8" t="inlineStr">
        <is>
          <t>3 — Trades</t>
        </is>
      </c>
      <c r="C216" s="8" t="n">
        <v>25</v>
      </c>
      <c r="D216" s="8" t="inlineStr">
        <is>
          <t>Add Trade — Trade &amp; Risk Tab</t>
        </is>
      </c>
      <c r="E216" s="3" t="inlineStr">
        <is>
          <t>P0</t>
        </is>
      </c>
      <c r="F216" s="3" t="inlineStr">
        <is>
          <t>**Stop loss** — enter price.</t>
        </is>
      </c>
      <c r="G216" s="3" t="inlineStr">
        <is>
          <t>Required field; live risk preview updates.</t>
        </is>
      </c>
      <c r="H216" s="3" t="inlineStr">
        <is>
          <t>— Not tested</t>
        </is>
      </c>
      <c r="I216" s="3" t="inlineStr">
        <is>
          <t>— Not tested</t>
        </is>
      </c>
      <c r="J216" s="3" t="inlineStr">
        <is>
          <t>— Not tested</t>
        </is>
      </c>
    </row>
    <row r="217">
      <c r="A217" s="8" t="n">
        <v>216</v>
      </c>
      <c r="B217" s="8" t="inlineStr">
        <is>
          <t>3 — Trades</t>
        </is>
      </c>
      <c r="C217" s="8" t="n">
        <v>25</v>
      </c>
      <c r="D217" s="8" t="inlineStr">
        <is>
          <t>Add Trade — Trade &amp; Risk Tab</t>
        </is>
      </c>
      <c r="E217" s="3" t="inlineStr">
        <is>
          <t>P1</t>
        </is>
      </c>
      <c r="F217" s="3" t="inlineStr">
        <is>
          <t>**Targets** — add target price row.</t>
        </is>
      </c>
      <c r="G217" s="3" t="inlineStr">
        <is>
          <t>Planned R updates in preview.</t>
        </is>
      </c>
      <c r="H217" s="3" t="inlineStr">
        <is>
          <t>— Not tested</t>
        </is>
      </c>
      <c r="I217" s="3" t="inlineStr">
        <is>
          <t>— Not tested</t>
        </is>
      </c>
      <c r="J217" s="3" t="inlineStr">
        <is>
          <t>— Not tested</t>
        </is>
      </c>
    </row>
    <row r="218">
      <c r="A218" s="8" t="n">
        <v>217</v>
      </c>
      <c r="B218" s="8" t="inlineStr">
        <is>
          <t>3 — Trades</t>
        </is>
      </c>
      <c r="C218" s="8" t="n">
        <v>25</v>
      </c>
      <c r="D218" s="8" t="inlineStr">
        <is>
          <t>Add Trade — Trade &amp; Risk Tab</t>
        </is>
      </c>
      <c r="E218" s="3" t="inlineStr">
        <is>
          <t>P1</t>
        </is>
      </c>
      <c r="F218" s="3" t="inlineStr">
        <is>
          <t>**Exits** — add actual exit row with price + qty.</t>
        </is>
      </c>
      <c r="G218" s="3" t="inlineStr">
        <is>
          <t>Exit size tracked.</t>
        </is>
      </c>
      <c r="H218" s="3" t="inlineStr">
        <is>
          <t>— Not tested</t>
        </is>
      </c>
      <c r="I218" s="3" t="inlineStr">
        <is>
          <t>— Not tested</t>
        </is>
      </c>
      <c r="J218" s="3" t="inlineStr">
        <is>
          <t>— Not tested</t>
        </is>
      </c>
    </row>
    <row r="219">
      <c r="A219" s="8" t="n">
        <v>218</v>
      </c>
      <c r="B219" s="8" t="inlineStr">
        <is>
          <t>3 — Trades</t>
        </is>
      </c>
      <c r="C219" s="8" t="n">
        <v>25</v>
      </c>
      <c r="D219" s="8" t="inlineStr">
        <is>
          <t>Add Trade — Trade &amp; Risk Tab</t>
        </is>
      </c>
      <c r="E219" s="3" t="inlineStr">
        <is>
          <t>P1</t>
        </is>
      </c>
      <c r="F219" s="3" t="inlineStr">
        <is>
          <t>Toggle **exit timing** (exit date/time).</t>
        </is>
      </c>
      <c r="G219" s="3" t="inlineStr">
        <is>
          <t>Exit date fields appear.</t>
        </is>
      </c>
      <c r="H219" s="3" t="inlineStr">
        <is>
          <t>— Not tested</t>
        </is>
      </c>
      <c r="I219" s="3" t="inlineStr">
        <is>
          <t>— Not tested</t>
        </is>
      </c>
      <c r="J219" s="3" t="inlineStr">
        <is>
          <t>— Not tested</t>
        </is>
      </c>
    </row>
    <row r="220">
      <c r="A220" s="8" t="n">
        <v>219</v>
      </c>
      <c r="B220" s="8" t="inlineStr">
        <is>
          <t>3 — Trades</t>
        </is>
      </c>
      <c r="C220" s="8" t="n">
        <v>25</v>
      </c>
      <c r="D220" s="8" t="inlineStr">
        <is>
          <t>Add Trade — Trade &amp; Risk Tab</t>
        </is>
      </c>
      <c r="E220" s="3" t="inlineStr">
        <is>
          <t>P1</t>
        </is>
      </c>
      <c r="F220" s="3" t="inlineStr">
        <is>
          <t>**Commission**, **spread**, **slippage** fields.</t>
        </is>
      </c>
      <c r="G220" s="3" t="inlineStr">
        <is>
          <t>P&amp;L preview adjusts.</t>
        </is>
      </c>
      <c r="H220" s="3" t="inlineStr">
        <is>
          <t>— Not tested</t>
        </is>
      </c>
      <c r="I220" s="3" t="inlineStr">
        <is>
          <t>— Not tested</t>
        </is>
      </c>
      <c r="J220" s="3" t="inlineStr">
        <is>
          <t>— Not tested</t>
        </is>
      </c>
    </row>
    <row r="221">
      <c r="A221" s="8" t="n">
        <v>220</v>
      </c>
      <c r="B221" s="8" t="inlineStr">
        <is>
          <t>3 — Trades</t>
        </is>
      </c>
      <c r="C221" s="8" t="n">
        <v>25</v>
      </c>
      <c r="D221" s="8" t="inlineStr">
        <is>
          <t>Add Trade — Trade &amp; Risk Tab</t>
        </is>
      </c>
      <c r="E221" s="3" t="inlineStr">
        <is>
          <t>P2</t>
        </is>
      </c>
      <c r="F221" s="3" t="inlineStr">
        <is>
          <t>**Risk %** field.</t>
        </is>
      </c>
      <c r="G221" s="3" t="inlineStr">
        <is>
          <t>Risk calculation updates.</t>
        </is>
      </c>
      <c r="H221" s="3" t="inlineStr">
        <is>
          <t>— Not tested</t>
        </is>
      </c>
      <c r="I221" s="3" t="inlineStr">
        <is>
          <t>— Not tested</t>
        </is>
      </c>
      <c r="J221" s="3" t="inlineStr">
        <is>
          <t>— Not tested</t>
        </is>
      </c>
    </row>
    <row r="222">
      <c r="A222" s="8" t="n">
        <v>221</v>
      </c>
      <c r="B222" s="8" t="inlineStr">
        <is>
          <t>3 — Trades</t>
        </is>
      </c>
      <c r="C222" s="8" t="n">
        <v>25</v>
      </c>
      <c r="D222" s="8" t="inlineStr">
        <is>
          <t>Add Trade — Trade &amp; Risk Tab</t>
        </is>
      </c>
      <c r="E222" s="3" t="inlineStr">
        <is>
          <t>P1</t>
        </is>
      </c>
      <c r="F222" s="3" t="inlineStr">
        <is>
          <t>**Excursion mode** — None / Standard / Extended.</t>
        </is>
      </c>
      <c r="G222" s="3" t="inlineStr">
        <is>
          <t>High/low fields show for standard+.</t>
        </is>
      </c>
      <c r="H222" s="3" t="inlineStr">
        <is>
          <t>— Not tested</t>
        </is>
      </c>
      <c r="I222" s="3" t="inlineStr">
        <is>
          <t>— Not tested</t>
        </is>
      </c>
      <c r="J222" s="3" t="inlineStr">
        <is>
          <t>— Not tested</t>
        </is>
      </c>
    </row>
    <row r="223">
      <c r="A223" s="8" t="n">
        <v>222</v>
      </c>
      <c r="B223" s="8" t="inlineStr">
        <is>
          <t>3 — Trades</t>
        </is>
      </c>
      <c r="C223" s="8" t="n">
        <v>25</v>
      </c>
      <c r="D223" s="8" t="inlineStr">
        <is>
          <t>Add Trade — Trade &amp; Risk Tab</t>
        </is>
      </c>
      <c r="E223" s="3" t="inlineStr">
        <is>
          <t>P1</t>
        </is>
      </c>
      <c r="F223" s="3" t="inlineStr">
        <is>
          <t>Enter **highest price** and **lowest price** during trade.</t>
        </is>
      </c>
      <c r="G223" s="3" t="inlineStr">
        <is>
          <t>MFE/MAE metrics calculate.</t>
        </is>
      </c>
      <c r="H223" s="3" t="inlineStr">
        <is>
          <t>— Not tested</t>
        </is>
      </c>
      <c r="I223" s="3" t="inlineStr">
        <is>
          <t>— Not tested</t>
        </is>
      </c>
      <c r="J223" s="3" t="inlineStr">
        <is>
          <t>— Not tested</t>
        </is>
      </c>
    </row>
    <row r="224">
      <c r="A224" s="8" t="n">
        <v>223</v>
      </c>
      <c r="B224" s="8" t="inlineStr">
        <is>
          <t>3 — Trades</t>
        </is>
      </c>
      <c r="C224" s="8" t="n">
        <v>25</v>
      </c>
      <c r="D224" s="8" t="inlineStr">
        <is>
          <t>Add Trade — Trade &amp; Risk Tab</t>
        </is>
      </c>
      <c r="E224" s="3" t="inlineStr">
        <is>
          <t>P2</t>
        </is>
      </c>
      <c r="F224" s="3" t="inlineStr">
        <is>
          <t>Extended: **post-exit high/low** + **window**.</t>
        </is>
      </c>
      <c r="G224" s="3" t="inlineStr">
        <is>
          <t>Post-exit excursion validates.</t>
        </is>
      </c>
      <c r="H224" s="3" t="inlineStr">
        <is>
          <t>— Not tested</t>
        </is>
      </c>
      <c r="I224" s="3" t="inlineStr">
        <is>
          <t>— Not tested</t>
        </is>
      </c>
      <c r="J224" s="3" t="inlineStr">
        <is>
          <t>— Not tested</t>
        </is>
      </c>
    </row>
    <row r="225">
      <c r="A225" s="8" t="n">
        <v>224</v>
      </c>
      <c r="B225" s="8" t="inlineStr">
        <is>
          <t>3 — Trades</t>
        </is>
      </c>
      <c r="C225" s="8" t="n">
        <v>25</v>
      </c>
      <c r="D225" s="8" t="inlineStr">
        <is>
          <t>Add Trade — Trade &amp; Risk Tab</t>
        </is>
      </c>
      <c r="E225" s="3" t="inlineStr">
        <is>
          <t>P1</t>
        </is>
      </c>
      <c r="F225" s="3" t="inlineStr">
        <is>
          <t>Verify **live P&amp;L preview** graph updates as you type.</t>
        </is>
      </c>
      <c r="G225" s="3" t="inlineStr">
        <is>
          <t>Chart/preview reacts to inputs.</t>
        </is>
      </c>
      <c r="H225" s="3" t="inlineStr">
        <is>
          <t>— Not tested</t>
        </is>
      </c>
      <c r="I225" s="3" t="inlineStr">
        <is>
          <t>— Not tested</t>
        </is>
      </c>
      <c r="J225" s="3" t="inlineStr">
        <is>
          <t>— Not tested</t>
        </is>
      </c>
    </row>
    <row r="226">
      <c r="A226" s="8" t="n">
        <v>225</v>
      </c>
      <c r="B226" s="8" t="inlineStr">
        <is>
          <t>3 — Trades</t>
        </is>
      </c>
      <c r="C226" s="8" t="n">
        <v>26</v>
      </c>
      <c r="D226" s="8" t="inlineStr">
        <is>
          <t>Add Trade — Tags, Discipline, Notes</t>
        </is>
      </c>
      <c r="E226" s="3" t="inlineStr">
        <is>
          <t>P0</t>
        </is>
      </c>
      <c r="F226" s="3" t="inlineStr">
        <is>
          <t>Go to **Tags** tab (arrow or tab click).</t>
        </is>
      </c>
      <c r="G226" s="3" t="inlineStr">
        <is>
          <t>Pre-tags and post-tags sections visible.</t>
        </is>
      </c>
      <c r="H226" s="3" t="inlineStr">
        <is>
          <t>— Not tested</t>
        </is>
      </c>
      <c r="I226" s="3" t="inlineStr">
        <is>
          <t>— Not tested</t>
        </is>
      </c>
      <c r="J226" s="3" t="inlineStr">
        <is>
          <t>— Not tested</t>
        </is>
      </c>
    </row>
    <row r="227">
      <c r="A227" s="8" t="n">
        <v>226</v>
      </c>
      <c r="B227" s="8" t="inlineStr">
        <is>
          <t>3 — Trades</t>
        </is>
      </c>
      <c r="C227" s="8" t="n">
        <v>26</v>
      </c>
      <c r="D227" s="8" t="inlineStr">
        <is>
          <t>Add Trade — Tags, Discipline, Notes</t>
        </is>
      </c>
      <c r="E227" s="3" t="inlineStr">
        <is>
          <t>P1</t>
        </is>
      </c>
      <c r="F227" s="3" t="inlineStr">
        <is>
          <t>Select **pre-trade tags** from strategy presets.</t>
        </is>
      </c>
      <c r="G227" s="3" t="inlineStr">
        <is>
          <t>Tags apply to trade.</t>
        </is>
      </c>
      <c r="H227" s="3" t="inlineStr">
        <is>
          <t>— Not tested</t>
        </is>
      </c>
      <c r="I227" s="3" t="inlineStr">
        <is>
          <t>— Not tested</t>
        </is>
      </c>
      <c r="J227" s="3" t="inlineStr">
        <is>
          <t>— Not tested</t>
        </is>
      </c>
    </row>
    <row r="228">
      <c r="A228" s="8" t="n">
        <v>227</v>
      </c>
      <c r="B228" s="8" t="inlineStr">
        <is>
          <t>3 — Trades</t>
        </is>
      </c>
      <c r="C228" s="8" t="n">
        <v>26</v>
      </c>
      <c r="D228" s="8" t="inlineStr">
        <is>
          <t>Add Trade — Tags, Discipline, Notes</t>
        </is>
      </c>
      <c r="E228" s="3" t="inlineStr">
        <is>
          <t>P1</t>
        </is>
      </c>
      <c r="F228" s="3" t="inlineStr">
        <is>
          <t>Select **post-trade tags**.</t>
        </is>
      </c>
      <c r="G228" s="3" t="inlineStr">
        <is>
          <t>Tags apply.</t>
        </is>
      </c>
      <c r="H228" s="3" t="inlineStr">
        <is>
          <t>— Not tested</t>
        </is>
      </c>
      <c r="I228" s="3" t="inlineStr">
        <is>
          <t>— Not tested</t>
        </is>
      </c>
      <c r="J228" s="3" t="inlineStr">
        <is>
          <t>— Not tested</t>
        </is>
      </c>
    </row>
    <row r="229">
      <c r="A229" s="8" t="n">
        <v>228</v>
      </c>
      <c r="B229" s="8" t="inlineStr">
        <is>
          <t>3 — Trades</t>
        </is>
      </c>
      <c r="C229" s="8" t="n">
        <v>26</v>
      </c>
      <c r="D229" s="8" t="inlineStr">
        <is>
          <t>Add Trade — Tags, Discipline, Notes</t>
        </is>
      </c>
      <c r="E229" s="3" t="inlineStr">
        <is>
          <t>P0</t>
        </is>
      </c>
      <c r="F229" s="3" t="inlineStr">
        <is>
          <t>**Strategy / Setup** dropdown — required for journal backtest trades.</t>
        </is>
      </c>
      <c r="G229" s="3" t="inlineStr">
        <is>
          <t>Must select before save.</t>
        </is>
      </c>
      <c r="H229" s="3" t="inlineStr">
        <is>
          <t>— Not tested</t>
        </is>
      </c>
      <c r="I229" s="3" t="inlineStr">
        <is>
          <t>— Not tested</t>
        </is>
      </c>
      <c r="J229" s="3" t="inlineStr">
        <is>
          <t>— Not tested</t>
        </is>
      </c>
    </row>
    <row r="230">
      <c r="A230" s="8" t="n">
        <v>229</v>
      </c>
      <c r="B230" s="8" t="inlineStr">
        <is>
          <t>3 — Trades</t>
        </is>
      </c>
      <c r="C230" s="8" t="n">
        <v>26</v>
      </c>
      <c r="D230" s="8" t="inlineStr">
        <is>
          <t>Add Trade — Tags, Discipline, Notes</t>
        </is>
      </c>
      <c r="E230" s="3" t="inlineStr">
        <is>
          <t>P1</t>
        </is>
      </c>
      <c r="F230" s="3" t="inlineStr">
        <is>
          <t>Go to **Discipline** tab (journal sources only).</t>
        </is>
      </c>
      <c r="G230" s="3" t="inlineStr">
        <is>
          <t>Plan review, demon patterns, behavior tags visible.</t>
        </is>
      </c>
      <c r="H230" s="3" t="inlineStr">
        <is>
          <t>— Not tested</t>
        </is>
      </c>
      <c r="I230" s="3" t="inlineStr">
        <is>
          <t>— Not tested</t>
        </is>
      </c>
      <c r="J230" s="3" t="inlineStr">
        <is>
          <t>— Not tested</t>
        </is>
      </c>
    </row>
    <row r="231">
      <c r="A231" s="8" t="n">
        <v>230</v>
      </c>
      <c r="B231" s="8" t="inlineStr">
        <is>
          <t>3 — Trades</t>
        </is>
      </c>
      <c r="C231" s="8" t="n">
        <v>26</v>
      </c>
      <c r="D231" s="8" t="inlineStr">
        <is>
          <t>Add Trade — Tags, Discipline, Notes</t>
        </is>
      </c>
      <c r="E231" s="3" t="inlineStr">
        <is>
          <t>P2</t>
        </is>
      </c>
      <c r="F231" s="3" t="inlineStr">
        <is>
          <t>Fill discipline fields.</t>
        </is>
      </c>
      <c r="G231" s="3" t="inlineStr">
        <is>
          <t>Values save on trade.</t>
        </is>
      </c>
      <c r="H231" s="3" t="inlineStr">
        <is>
          <t>— Not tested</t>
        </is>
      </c>
      <c r="I231" s="3" t="inlineStr">
        <is>
          <t>— Not tested</t>
        </is>
      </c>
      <c r="J231" s="3" t="inlineStr">
        <is>
          <t>— Not tested</t>
        </is>
      </c>
    </row>
    <row r="232">
      <c r="A232" s="8" t="n">
        <v>231</v>
      </c>
      <c r="B232" s="8" t="inlineStr">
        <is>
          <t>3 — Trades</t>
        </is>
      </c>
      <c r="C232" s="8" t="n">
        <v>26</v>
      </c>
      <c r="D232" s="8" t="inlineStr">
        <is>
          <t>Add Trade — Tags, Discipline, Notes</t>
        </is>
      </c>
      <c r="E232" s="3" t="inlineStr">
        <is>
          <t>P0</t>
        </is>
      </c>
      <c r="F232" s="3" t="inlineStr">
        <is>
          <t>Go to **Notes &amp; Screenshots** tab.</t>
        </is>
      </c>
      <c r="G232" s="3" t="inlineStr">
        <is>
          <t>Pre/post notes text areas visible.</t>
        </is>
      </c>
      <c r="H232" s="3" t="inlineStr">
        <is>
          <t>— Not tested</t>
        </is>
      </c>
      <c r="I232" s="3" t="inlineStr">
        <is>
          <t>— Not tested</t>
        </is>
      </c>
      <c r="J232" s="3" t="inlineStr">
        <is>
          <t>— Not tested</t>
        </is>
      </c>
    </row>
    <row r="233">
      <c r="A233" s="8" t="n">
        <v>232</v>
      </c>
      <c r="B233" s="8" t="inlineStr">
        <is>
          <t>3 — Trades</t>
        </is>
      </c>
      <c r="C233" s="8" t="n">
        <v>26</v>
      </c>
      <c r="D233" s="8" t="inlineStr">
        <is>
          <t>Add Trade — Tags, Discipline, Notes</t>
        </is>
      </c>
      <c r="E233" s="3" t="inlineStr">
        <is>
          <t>P1</t>
        </is>
      </c>
      <c r="F233" s="3" t="inlineStr">
        <is>
          <t>Type **pre-trade notes** and **post-trade notes**.</t>
        </is>
      </c>
      <c r="G233" s="3" t="inlineStr">
        <is>
          <t>Text persists on save.</t>
        </is>
      </c>
      <c r="H233" s="3" t="inlineStr">
        <is>
          <t>— Not tested</t>
        </is>
      </c>
      <c r="I233" s="3" t="inlineStr">
        <is>
          <t>— Not tested</t>
        </is>
      </c>
      <c r="J233" s="3" t="inlineStr">
        <is>
          <t>— Not tested</t>
        </is>
      </c>
    </row>
    <row r="234">
      <c r="A234" s="8" t="n">
        <v>233</v>
      </c>
      <c r="B234" s="8" t="inlineStr">
        <is>
          <t>3 — Trades</t>
        </is>
      </c>
      <c r="C234" s="8" t="n">
        <v>26</v>
      </c>
      <c r="D234" s="8" t="inlineStr">
        <is>
          <t>Add Trade — Tags, Discipline, Notes</t>
        </is>
      </c>
      <c r="E234" s="3" t="inlineStr">
        <is>
          <t>P1</t>
        </is>
      </c>
      <c r="F234" s="3" t="inlineStr">
        <is>
          <t>Upload **pre screenshot** and **post screenshot**.</t>
        </is>
      </c>
      <c r="G234" s="3" t="inlineStr">
        <is>
          <t>Thumbnails appear.</t>
        </is>
      </c>
      <c r="H234" s="3" t="inlineStr">
        <is>
          <t>— Not tested</t>
        </is>
      </c>
      <c r="I234" s="3" t="inlineStr">
        <is>
          <t>— Not tested</t>
        </is>
      </c>
      <c r="J234" s="3" t="inlineStr">
        <is>
          <t>— Not tested</t>
        </is>
      </c>
    </row>
    <row r="235">
      <c r="A235" s="8" t="n">
        <v>234</v>
      </c>
      <c r="B235" s="8" t="inlineStr">
        <is>
          <t>3 — Trades</t>
        </is>
      </c>
      <c r="C235" s="8" t="n">
        <v>27</v>
      </c>
      <c r="D235" s="8" t="inlineStr">
        <is>
          <t>Add Trade — Save &amp; Edit</t>
        </is>
      </c>
      <c r="E235" s="3" t="inlineStr">
        <is>
          <t>P0</t>
        </is>
      </c>
      <c r="F235" s="3" t="inlineStr">
        <is>
          <t>Fill valid trade → click **Save**.</t>
        </is>
      </c>
      <c r="G235" s="3" t="inlineStr">
        <is>
          <t>Trade appears in table; modal closes.</t>
        </is>
      </c>
      <c r="H235" s="3" t="inlineStr">
        <is>
          <t>— Not tested</t>
        </is>
      </c>
      <c r="I235" s="3" t="inlineStr">
        <is>
          <t>— Not tested</t>
        </is>
      </c>
      <c r="J235" s="3" t="inlineStr">
        <is>
          <t>— Not tested</t>
        </is>
      </c>
    </row>
    <row r="236">
      <c r="A236" s="8" t="n">
        <v>235</v>
      </c>
      <c r="B236" s="8" t="inlineStr">
        <is>
          <t>3 — Trades</t>
        </is>
      </c>
      <c r="C236" s="8" t="n">
        <v>27</v>
      </c>
      <c r="D236" s="8" t="inlineStr">
        <is>
          <t>Add Trade — Save &amp; Edit</t>
        </is>
      </c>
      <c r="E236" s="3" t="inlineStr">
        <is>
          <t>P1</t>
        </is>
      </c>
      <c r="F236" s="3" t="inlineStr">
        <is>
          <t>Fill valid trade → click **Save &amp; Add Another**.</t>
        </is>
      </c>
      <c r="G236" s="3" t="inlineStr">
        <is>
          <t>Trade saves; form resets for next entry.</t>
        </is>
      </c>
      <c r="H236" s="3" t="inlineStr">
        <is>
          <t>— Not tested</t>
        </is>
      </c>
      <c r="I236" s="3" t="inlineStr">
        <is>
          <t>— Not tested</t>
        </is>
      </c>
      <c r="J236" s="3" t="inlineStr">
        <is>
          <t>— Not tested</t>
        </is>
      </c>
    </row>
    <row r="237">
      <c r="A237" s="8" t="n">
        <v>236</v>
      </c>
      <c r="B237" s="8" t="inlineStr">
        <is>
          <t>3 — Trades</t>
        </is>
      </c>
      <c r="C237" s="8" t="n">
        <v>27</v>
      </c>
      <c r="D237" s="8" t="inlineStr">
        <is>
          <t>Add Trade — Save &amp; Edit</t>
        </is>
      </c>
      <c r="E237" s="3" t="inlineStr">
        <is>
          <t>P0</t>
        </is>
      </c>
      <c r="F237" s="3" t="inlineStr">
        <is>
          <t>Edit existing trade from table → change SL → Save.</t>
        </is>
      </c>
      <c r="G237" s="3" t="inlineStr">
        <is>
          <t>Changes reflect in table and expanded row.</t>
        </is>
      </c>
      <c r="H237" s="3" t="inlineStr">
        <is>
          <t>— Not tested</t>
        </is>
      </c>
      <c r="I237" s="3" t="inlineStr">
        <is>
          <t>— Not tested</t>
        </is>
      </c>
      <c r="J237" s="3" t="inlineStr">
        <is>
          <t>— Not tested</t>
        </is>
      </c>
    </row>
    <row r="238">
      <c r="A238" s="8" t="n">
        <v>237</v>
      </c>
      <c r="B238" s="8" t="inlineStr">
        <is>
          <t>3 — Trades</t>
        </is>
      </c>
      <c r="C238" s="8" t="n">
        <v>27</v>
      </c>
      <c r="D238" s="8" t="inlineStr">
        <is>
          <t>Add Trade — Save &amp; Edit</t>
        </is>
      </c>
      <c r="E238" s="3" t="inlineStr">
        <is>
          <t>P2</t>
        </is>
      </c>
      <c r="F238" s="3" t="inlineStr">
        <is>
          <t>Delete trade if delete action exists.</t>
        </is>
      </c>
      <c r="G238" s="3" t="inlineStr">
        <is>
          <t>Trade removed from list.</t>
        </is>
      </c>
      <c r="H238" s="3" t="inlineStr">
        <is>
          <t>— Not tested</t>
        </is>
      </c>
      <c r="I238" s="3" t="inlineStr">
        <is>
          <t>— Not tested</t>
        </is>
      </c>
      <c r="J238" s="3" t="inlineStr">
        <is>
          <t>— Not tested</t>
        </is>
      </c>
    </row>
    <row r="239">
      <c r="A239" s="8" t="n">
        <v>238</v>
      </c>
      <c r="B239" s="8" t="inlineStr">
        <is>
          <t>3 — Trades</t>
        </is>
      </c>
      <c r="C239" s="8" t="n">
        <v>28</v>
      </c>
      <c r="D239" s="8" t="inlineStr">
        <is>
          <t>Add Trade — Validation (test each error)</t>
        </is>
      </c>
      <c r="E239" s="3" t="inlineStr">
        <is>
          <t>P0</t>
        </is>
      </c>
      <c r="F239" s="3" t="inlineStr">
        <is>
          <t>Wrong symbol (not in source instrument list) → Save.</t>
        </is>
      </c>
      <c r="G239" s="3" t="inlineStr">
        <is>
          <t>Error: instrument must belong to source.</t>
        </is>
      </c>
      <c r="H239" s="3" t="inlineStr">
        <is>
          <t>— Not tested</t>
        </is>
      </c>
      <c r="I239" s="3" t="inlineStr">
        <is>
          <t>— Not tested</t>
        </is>
      </c>
      <c r="J239" s="3" t="inlineStr">
        <is>
          <t>— Not tested</t>
        </is>
      </c>
    </row>
    <row r="240">
      <c r="A240" s="8" t="n">
        <v>239</v>
      </c>
      <c r="B240" s="8" t="inlineStr">
        <is>
          <t>3 — Trades</t>
        </is>
      </c>
      <c r="C240" s="8" t="n">
        <v>28</v>
      </c>
      <c r="D240" s="8" t="inlineStr">
        <is>
          <t>Add Trade — Validation (test each error)</t>
        </is>
      </c>
      <c r="E240" s="3" t="inlineStr">
        <is>
          <t>P0</t>
        </is>
      </c>
      <c r="F240" s="3" t="inlineStr">
        <is>
          <t>Journal trade without strategy/setup → Save.</t>
        </is>
      </c>
      <c r="G240" s="3" t="inlineStr">
        <is>
          <t>Error: choose strategy for journal trade.</t>
        </is>
      </c>
      <c r="H240" s="3" t="inlineStr">
        <is>
          <t>— Not tested</t>
        </is>
      </c>
      <c r="I240" s="3" t="inlineStr">
        <is>
          <t>— Not tested</t>
        </is>
      </c>
      <c r="J240" s="3" t="inlineStr">
        <is>
          <t>— Not tested</t>
        </is>
      </c>
    </row>
    <row r="241">
      <c r="A241" s="8" t="n">
        <v>240</v>
      </c>
      <c r="B241" s="8" t="inlineStr">
        <is>
          <t>3 — Trades</t>
        </is>
      </c>
      <c r="C241" s="8" t="n">
        <v>28</v>
      </c>
      <c r="D241" s="8" t="inlineStr">
        <is>
          <t>Add Trade — Validation (test each error)</t>
        </is>
      </c>
      <c r="E241" s="3" t="inlineStr">
        <is>
          <t>P0</t>
        </is>
      </c>
      <c r="F241" s="3" t="inlineStr">
        <is>
          <t>Empty entry date/time → Save.</t>
        </is>
      </c>
      <c r="G241" s="3" t="inlineStr">
        <is>
          <t>Error: entry date and time required.</t>
        </is>
      </c>
      <c r="H241" s="3" t="inlineStr">
        <is>
          <t>— Not tested</t>
        </is>
      </c>
      <c r="I241" s="3" t="inlineStr">
        <is>
          <t>— Not tested</t>
        </is>
      </c>
      <c r="J241" s="3" t="inlineStr">
        <is>
          <t>— Not tested</t>
        </is>
      </c>
    </row>
    <row r="242">
      <c r="A242" s="8" t="n">
        <v>241</v>
      </c>
      <c r="B242" s="8" t="inlineStr">
        <is>
          <t>3 — Trades</t>
        </is>
      </c>
      <c r="C242" s="8" t="n">
        <v>28</v>
      </c>
      <c r="D242" s="8" t="inlineStr">
        <is>
          <t>Add Trade — Validation (test each error)</t>
        </is>
      </c>
      <c r="E242" s="3" t="inlineStr">
        <is>
          <t>P0</t>
        </is>
      </c>
      <c r="F242" s="3" t="inlineStr">
        <is>
          <t>Entry date **before** session start → Save.</t>
        </is>
      </c>
      <c r="G242" s="3" t="inlineStr">
        <is>
          <t>Error: within session date range.</t>
        </is>
      </c>
      <c r="H242" s="3" t="inlineStr">
        <is>
          <t>— Not tested</t>
        </is>
      </c>
      <c r="I242" s="3" t="inlineStr">
        <is>
          <t>— Not tested</t>
        </is>
      </c>
      <c r="J242" s="3" t="inlineStr">
        <is>
          <t>— Not tested</t>
        </is>
      </c>
    </row>
    <row r="243">
      <c r="A243" s="8" t="n">
        <v>242</v>
      </c>
      <c r="B243" s="8" t="inlineStr">
        <is>
          <t>3 — Trades</t>
        </is>
      </c>
      <c r="C243" s="8" t="n">
        <v>28</v>
      </c>
      <c r="D243" s="8" t="inlineStr">
        <is>
          <t>Add Trade — Validation (test each error)</t>
        </is>
      </c>
      <c r="E243" s="3" t="inlineStr">
        <is>
          <t>P0</t>
        </is>
      </c>
      <c r="F243" s="3" t="inlineStr">
        <is>
          <t>Entry date **after** session end → Save.</t>
        </is>
      </c>
      <c r="G243" s="3" t="inlineStr">
        <is>
          <t>Error: within session date range.</t>
        </is>
      </c>
      <c r="H243" s="3" t="inlineStr">
        <is>
          <t>— Not tested</t>
        </is>
      </c>
      <c r="I243" s="3" t="inlineStr">
        <is>
          <t>— Not tested</t>
        </is>
      </c>
      <c r="J243" s="3" t="inlineStr">
        <is>
          <t>— Not tested</t>
        </is>
      </c>
    </row>
    <row r="244">
      <c r="A244" s="8" t="n">
        <v>243</v>
      </c>
      <c r="B244" s="8" t="inlineStr">
        <is>
          <t>3 — Trades</t>
        </is>
      </c>
      <c r="C244" s="8" t="n">
        <v>28</v>
      </c>
      <c r="D244" s="8" t="inlineStr">
        <is>
          <t>Add Trade — Validation (test each error)</t>
        </is>
      </c>
      <c r="E244" s="3" t="inlineStr">
        <is>
          <t>P0</t>
        </is>
      </c>
      <c r="F244" s="3" t="inlineStr">
        <is>
          <t>**Future** entry date (live journal) → Save.</t>
        </is>
      </c>
      <c r="G244" s="3" t="inlineStr">
        <is>
          <t>Error: cannot be in future.</t>
        </is>
      </c>
      <c r="H244" s="3" t="inlineStr">
        <is>
          <t>— Not tested</t>
        </is>
      </c>
      <c r="I244" s="3" t="inlineStr">
        <is>
          <t>— Not tested</t>
        </is>
      </c>
      <c r="J244" s="3" t="inlineStr">
        <is>
          <t>— Not tested</t>
        </is>
      </c>
    </row>
    <row r="245">
      <c r="A245" s="8" t="n">
        <v>244</v>
      </c>
      <c r="B245" s="8" t="inlineStr">
        <is>
          <t>3 — Trades</t>
        </is>
      </c>
      <c r="C245" s="8" t="n">
        <v>28</v>
      </c>
      <c r="D245" s="8" t="inlineStr">
        <is>
          <t>Add Trade — Validation (test each error)</t>
        </is>
      </c>
      <c r="E245" s="3" t="inlineStr">
        <is>
          <t>P0</t>
        </is>
      </c>
      <c r="F245" s="3" t="inlineStr">
        <is>
          <t>Entry row with price=0 or qty=0 → Save.</t>
        </is>
      </c>
      <c r="G245" s="3" t="inlineStr">
        <is>
          <t>Error: price and size &gt; 0.</t>
        </is>
      </c>
      <c r="H245" s="3" t="inlineStr">
        <is>
          <t>— Not tested</t>
        </is>
      </c>
      <c r="I245" s="3" t="inlineStr">
        <is>
          <t>— Not tested</t>
        </is>
      </c>
      <c r="J245" s="3" t="inlineStr">
        <is>
          <t>— Not tested</t>
        </is>
      </c>
    </row>
    <row r="246">
      <c r="A246" s="8" t="n">
        <v>245</v>
      </c>
      <c r="B246" s="8" t="inlineStr">
        <is>
          <t>3 — Trades</t>
        </is>
      </c>
      <c r="C246" s="8" t="n">
        <v>28</v>
      </c>
      <c r="D246" s="8" t="inlineStr">
        <is>
          <t>Add Trade — Validation (test each error)</t>
        </is>
      </c>
      <c r="E246" s="3" t="inlineStr">
        <is>
          <t>P0</t>
        </is>
      </c>
      <c r="F246" s="3" t="inlineStr">
        <is>
          <t>Missing **stop loss** → Save.</t>
        </is>
      </c>
      <c r="G246" s="3" t="inlineStr">
        <is>
          <t>Error: stop loss required.</t>
        </is>
      </c>
      <c r="H246" s="3" t="inlineStr">
        <is>
          <t>— Not tested</t>
        </is>
      </c>
      <c r="I246" s="3" t="inlineStr">
        <is>
          <t>— Not tested</t>
        </is>
      </c>
      <c r="J246" s="3" t="inlineStr">
        <is>
          <t>— Not tested</t>
        </is>
      </c>
    </row>
    <row r="247">
      <c r="A247" s="8" t="n">
        <v>246</v>
      </c>
      <c r="B247" s="8" t="inlineStr">
        <is>
          <t>3 — Trades</t>
        </is>
      </c>
      <c r="C247" s="8" t="n">
        <v>28</v>
      </c>
      <c r="D247" s="8" t="inlineStr">
        <is>
          <t>Add Trade — Validation (test each error)</t>
        </is>
      </c>
      <c r="E247" s="3" t="inlineStr">
        <is>
          <t>P0</t>
        </is>
      </c>
      <c r="F247" s="3" t="inlineStr">
        <is>
          <t>**Long** with SL above entry → Save.</t>
        </is>
      </c>
      <c r="G247" s="3" t="inlineStr">
        <is>
          <t>Error: SL must be below entries.</t>
        </is>
      </c>
      <c r="H247" s="3" t="inlineStr">
        <is>
          <t>— Not tested</t>
        </is>
      </c>
      <c r="I247" s="3" t="inlineStr">
        <is>
          <t>— Not tested</t>
        </is>
      </c>
      <c r="J247" s="3" t="inlineStr">
        <is>
          <t>— Not tested</t>
        </is>
      </c>
    </row>
    <row r="248">
      <c r="A248" s="8" t="n">
        <v>247</v>
      </c>
      <c r="B248" s="8" t="inlineStr">
        <is>
          <t>3 — Trades</t>
        </is>
      </c>
      <c r="C248" s="8" t="n">
        <v>28</v>
      </c>
      <c r="D248" s="8" t="inlineStr">
        <is>
          <t>Add Trade — Validation (test each error)</t>
        </is>
      </c>
      <c r="E248" s="3" t="inlineStr">
        <is>
          <t>P0</t>
        </is>
      </c>
      <c r="F248" s="3" t="inlineStr">
        <is>
          <t>**Short** with SL below entry → Save.</t>
        </is>
      </c>
      <c r="G248" s="3" t="inlineStr">
        <is>
          <t>Error: SL must be above entries.</t>
        </is>
      </c>
      <c r="H248" s="3" t="inlineStr">
        <is>
          <t>— Not tested</t>
        </is>
      </c>
      <c r="I248" s="3" t="inlineStr">
        <is>
          <t>— Not tested</t>
        </is>
      </c>
      <c r="J248" s="3" t="inlineStr">
        <is>
          <t>— Not tested</t>
        </is>
      </c>
    </row>
    <row r="249">
      <c r="A249" s="8" t="n">
        <v>248</v>
      </c>
      <c r="B249" s="8" t="inlineStr">
        <is>
          <t>3 — Trades</t>
        </is>
      </c>
      <c r="C249" s="8" t="n">
        <v>28</v>
      </c>
      <c r="D249" s="8" t="inlineStr">
        <is>
          <t>Add Trade — Validation (test each error)</t>
        </is>
      </c>
      <c r="E249" s="3" t="inlineStr">
        <is>
          <t>P0</t>
        </is>
      </c>
      <c r="F249" s="3" t="inlineStr">
        <is>
          <t>**Long** with target below entry → Save.</t>
        </is>
      </c>
      <c r="G249" s="3" t="inlineStr">
        <is>
          <t>Error: targets above entries.</t>
        </is>
      </c>
      <c r="H249" s="3" t="inlineStr">
        <is>
          <t>— Not tested</t>
        </is>
      </c>
      <c r="I249" s="3" t="inlineStr">
        <is>
          <t>— Not tested</t>
        </is>
      </c>
      <c r="J249" s="3" t="inlineStr">
        <is>
          <t>— Not tested</t>
        </is>
      </c>
    </row>
    <row r="250">
      <c r="A250" s="8" t="n">
        <v>249</v>
      </c>
      <c r="B250" s="8" t="inlineStr">
        <is>
          <t>3 — Trades</t>
        </is>
      </c>
      <c r="C250" s="8" t="n">
        <v>28</v>
      </c>
      <c r="D250" s="8" t="inlineStr">
        <is>
          <t>Add Trade — Validation (test each error)</t>
        </is>
      </c>
      <c r="E250" s="3" t="inlineStr">
        <is>
          <t>P0</t>
        </is>
      </c>
      <c r="F250" s="3" t="inlineStr">
        <is>
          <t>**Short** with target above entry → Save.</t>
        </is>
      </c>
      <c r="G250" s="3" t="inlineStr">
        <is>
          <t>Error: targets below entries.</t>
        </is>
      </c>
      <c r="H250" s="3" t="inlineStr">
        <is>
          <t>— Not tested</t>
        </is>
      </c>
      <c r="I250" s="3" t="inlineStr">
        <is>
          <t>— Not tested</t>
        </is>
      </c>
      <c r="J250" s="3" t="inlineStr">
        <is>
          <t>— Not tested</t>
        </is>
      </c>
    </row>
    <row r="251">
      <c r="A251" s="8" t="n">
        <v>250</v>
      </c>
      <c r="B251" s="8" t="inlineStr">
        <is>
          <t>3 — Trades</t>
        </is>
      </c>
      <c r="C251" s="8" t="n">
        <v>28</v>
      </c>
      <c r="D251" s="8" t="inlineStr">
        <is>
          <t>Add Trade — Validation (test each error)</t>
        </is>
      </c>
      <c r="E251" s="3" t="inlineStr">
        <is>
          <t>P0</t>
        </is>
      </c>
      <c r="F251" s="3" t="inlineStr">
        <is>
          <t>Exit size **greater than** entry size → Save.</t>
        </is>
      </c>
      <c r="G251" s="3" t="inlineStr">
        <is>
          <t>Error: exited size exceeds entered.</t>
        </is>
      </c>
      <c r="H251" s="3" t="inlineStr">
        <is>
          <t>— Not tested</t>
        </is>
      </c>
      <c r="I251" s="3" t="inlineStr">
        <is>
          <t>— Not tested</t>
        </is>
      </c>
      <c r="J251" s="3" t="inlineStr">
        <is>
          <t>— Not tested</t>
        </is>
      </c>
    </row>
    <row r="252">
      <c r="A252" s="8" t="n">
        <v>251</v>
      </c>
      <c r="B252" s="8" t="inlineStr">
        <is>
          <t>3 — Trades</t>
        </is>
      </c>
      <c r="C252" s="8" t="n">
        <v>28</v>
      </c>
      <c r="D252" s="8" t="inlineStr">
        <is>
          <t>Add Trade — Validation (test each error)</t>
        </is>
      </c>
      <c r="E252" s="3" t="inlineStr">
        <is>
          <t>P1</t>
        </is>
      </c>
      <c r="F252" s="3" t="inlineStr">
        <is>
          <t>Actual exit rows without **exit timing** enabled → Save.</t>
        </is>
      </c>
      <c r="G252" s="3" t="inlineStr">
        <is>
          <t>Error: enable exit time or clear exits.</t>
        </is>
      </c>
      <c r="H252" s="3" t="inlineStr">
        <is>
          <t>— Not tested</t>
        </is>
      </c>
      <c r="I252" s="3" t="inlineStr">
        <is>
          <t>— Not tested</t>
        </is>
      </c>
      <c r="J252" s="3" t="inlineStr">
        <is>
          <t>— Not tested</t>
        </is>
      </c>
    </row>
    <row r="253">
      <c r="A253" s="8" t="n">
        <v>252</v>
      </c>
      <c r="B253" s="8" t="inlineStr">
        <is>
          <t>3 — Trades</t>
        </is>
      </c>
      <c r="C253" s="8" t="n">
        <v>28</v>
      </c>
      <c r="D253" s="8" t="inlineStr">
        <is>
          <t>Add Trade — Validation (test each error)</t>
        </is>
      </c>
      <c r="E253" s="3" t="inlineStr">
        <is>
          <t>P0</t>
        </is>
      </c>
      <c r="F253" s="3" t="inlineStr">
        <is>
          <t>Exit time **before** entry time → Save.</t>
        </is>
      </c>
      <c r="G253" s="3" t="inlineStr">
        <is>
          <t>Error: exit after entry.</t>
        </is>
      </c>
      <c r="H253" s="3" t="inlineStr">
        <is>
          <t>— Not tested</t>
        </is>
      </c>
      <c r="I253" s="3" t="inlineStr">
        <is>
          <t>— Not tested</t>
        </is>
      </c>
      <c r="J253" s="3" t="inlineStr">
        <is>
          <t>— Not tested</t>
        </is>
      </c>
    </row>
    <row r="254">
      <c r="A254" s="8" t="n">
        <v>253</v>
      </c>
      <c r="B254" s="8" t="inlineStr">
        <is>
          <t>3 — Trades</t>
        </is>
      </c>
      <c r="C254" s="8" t="n">
        <v>28</v>
      </c>
      <c r="D254" s="8" t="inlineStr">
        <is>
          <t>Add Trade — Validation (test each error)</t>
        </is>
      </c>
      <c r="E254" s="3" t="inlineStr">
        <is>
          <t>P1</t>
        </is>
      </c>
      <c r="F254" s="3" t="inlineStr">
        <is>
          <t>Excursion: high **below** low → Save.</t>
        </is>
      </c>
      <c r="G254" s="3" t="inlineStr">
        <is>
          <t>Error: high must be above low.</t>
        </is>
      </c>
      <c r="H254" s="3" t="inlineStr">
        <is>
          <t>— Not tested</t>
        </is>
      </c>
      <c r="I254" s="3" t="inlineStr">
        <is>
          <t>— Not tested</t>
        </is>
      </c>
      <c r="J254" s="3" t="inlineStr">
        <is>
          <t>— Not tested</t>
        </is>
      </c>
    </row>
    <row r="255">
      <c r="A255" s="8" t="n">
        <v>254</v>
      </c>
      <c r="B255" s="8" t="inlineStr">
        <is>
          <t>3 — Trades</t>
        </is>
      </c>
      <c r="C255" s="8" t="n">
        <v>28</v>
      </c>
      <c r="D255" s="8" t="inlineStr">
        <is>
          <t>Add Trade — Validation (test each error)</t>
        </is>
      </c>
      <c r="E255" s="3" t="inlineStr">
        <is>
          <t>P1</t>
        </is>
      </c>
      <c r="F255" s="3" t="inlineStr">
        <is>
          <t>Negative commission → Save.</t>
        </is>
      </c>
      <c r="G255" s="3" t="inlineStr">
        <is>
          <t>Error: must be zero or greater.</t>
        </is>
      </c>
      <c r="H255" s="3" t="inlineStr">
        <is>
          <t>— Not tested</t>
        </is>
      </c>
      <c r="I255" s="3" t="inlineStr">
        <is>
          <t>— Not tested</t>
        </is>
      </c>
      <c r="J255" s="3" t="inlineStr">
        <is>
          <t>— Not tested</t>
        </is>
      </c>
    </row>
    <row r="256">
      <c r="A256" s="8" t="n">
        <v>255</v>
      </c>
      <c r="B256" s="8" t="inlineStr">
        <is>
          <t>3 — Trades</t>
        </is>
      </c>
      <c r="C256" s="8" t="n">
        <v>28</v>
      </c>
      <c r="D256" s="8" t="inlineStr">
        <is>
          <t>Add Trade — Validation (test each error)</t>
        </is>
      </c>
      <c r="E256" s="3" t="inlineStr">
        <is>
          <t>P2</t>
        </is>
      </c>
      <c r="F256" s="3" t="inlineStr">
        <is>
          <t>Very wide stop (huge R) → Save.</t>
        </is>
      </c>
      <c r="G256" s="3" t="inlineStr">
        <is>
          <t>Warning (non-blocking): unusually large R.</t>
        </is>
      </c>
      <c r="H256" s="3" t="inlineStr">
        <is>
          <t>— Not tested</t>
        </is>
      </c>
      <c r="I256" s="3" t="inlineStr">
        <is>
          <t>— Not tested</t>
        </is>
      </c>
      <c r="J256" s="3" t="inlineStr">
        <is>
          <t>— Not tested</t>
        </is>
      </c>
    </row>
    <row r="257">
      <c r="A257" s="8" t="n">
        <v>256</v>
      </c>
      <c r="B257" s="8" t="inlineStr">
        <is>
          <t>3 — Trades</t>
        </is>
      </c>
      <c r="C257" s="8" t="n">
        <v>28</v>
      </c>
      <c r="D257" s="8" t="inlineStr">
        <is>
          <t>Add Trade — Validation (test each error)</t>
        </is>
      </c>
      <c r="E257" s="3" t="inlineStr">
        <is>
          <t>P2</t>
        </is>
      </c>
      <c r="F257" s="3" t="inlineStr">
        <is>
          <t>No target set → Save.</t>
        </is>
      </c>
      <c r="G257" s="3" t="inlineStr">
        <is>
          <t>Warning: planned R blank.</t>
        </is>
      </c>
      <c r="H257" s="3" t="inlineStr">
        <is>
          <t>— Not tested</t>
        </is>
      </c>
      <c r="I257" s="3" t="inlineStr">
        <is>
          <t>— Not tested</t>
        </is>
      </c>
      <c r="J257" s="3" t="inlineStr">
        <is>
          <t>— Not tested</t>
        </is>
      </c>
    </row>
    <row r="258">
      <c r="A258" s="9" t="n">
        <v>257</v>
      </c>
      <c r="B258" s="9" t="inlineStr">
        <is>
          <t>4 — Sources</t>
        </is>
      </c>
      <c r="C258" s="9" t="n">
        <v>29</v>
      </c>
      <c r="D258" s="9" t="inlineStr">
        <is>
          <t>Open Sources Library</t>
        </is>
      </c>
      <c r="E258" s="3" t="inlineStr">
        <is>
          <t>P0</t>
        </is>
      </c>
      <c r="F258" s="3" t="inlineStr">
        <is>
          <t>From **Dashboard**, click the **source chip/banner** in header.</t>
        </is>
      </c>
      <c r="G258" s="3" t="inlineStr">
        <is>
          <t>Sources library overlay opens.</t>
        </is>
      </c>
      <c r="H258" s="3" t="inlineStr">
        <is>
          <t>— Not tested</t>
        </is>
      </c>
      <c r="I258" s="3" t="inlineStr">
        <is>
          <t>— Not tested</t>
        </is>
      </c>
      <c r="J258" s="3" t="inlineStr">
        <is>
          <t>— Not tested</t>
        </is>
      </c>
    </row>
    <row r="259">
      <c r="A259" s="9" t="n">
        <v>258</v>
      </c>
      <c r="B259" s="9" t="inlineStr">
        <is>
          <t>4 — Sources</t>
        </is>
      </c>
      <c r="C259" s="9" t="n">
        <v>29</v>
      </c>
      <c r="D259" s="9" t="inlineStr">
        <is>
          <t>Open Sources Library</t>
        </is>
      </c>
      <c r="E259" s="3" t="inlineStr">
        <is>
          <t>P0</t>
        </is>
      </c>
      <c r="F259" s="3" t="inlineStr">
        <is>
          <t>Close with **Cancel**; from **Trades** click source switcher.</t>
        </is>
      </c>
      <c r="G259" s="3" t="inlineStr">
        <is>
          <t>Same library opens.</t>
        </is>
      </c>
      <c r="H259" s="3" t="inlineStr">
        <is>
          <t>— Not tested</t>
        </is>
      </c>
      <c r="I259" s="3" t="inlineStr">
        <is>
          <t>— Not tested</t>
        </is>
      </c>
      <c r="J259" s="3" t="inlineStr">
        <is>
          <t>— Not tested</t>
        </is>
      </c>
    </row>
    <row r="260">
      <c r="A260" s="9" t="n">
        <v>259</v>
      </c>
      <c r="B260" s="9" t="inlineStr">
        <is>
          <t>4 — Sources</t>
        </is>
      </c>
      <c r="C260" s="9" t="n">
        <v>29</v>
      </c>
      <c r="D260" s="9" t="inlineStr">
        <is>
          <t>Open Sources Library</t>
        </is>
      </c>
      <c r="E260" s="3" t="inlineStr">
        <is>
          <t>P1</t>
        </is>
      </c>
      <c r="F260" s="3" t="inlineStr">
        <is>
          <t>From Compare mode, open compare source picker.</t>
        </is>
      </c>
      <c r="G260" s="3" t="inlineStr">
        <is>
          <t>Library/compare shell opens.</t>
        </is>
      </c>
      <c r="H260" s="3" t="inlineStr">
        <is>
          <t>— Not tested</t>
        </is>
      </c>
      <c r="I260" s="3" t="inlineStr">
        <is>
          <t>— Not tested</t>
        </is>
      </c>
      <c r="J260" s="3" t="inlineStr">
        <is>
          <t>— Not tested</t>
        </is>
      </c>
    </row>
    <row r="261">
      <c r="A261" s="9" t="n">
        <v>260</v>
      </c>
      <c r="B261" s="9" t="inlineStr">
        <is>
          <t>4 — Sources</t>
        </is>
      </c>
      <c r="C261" s="9" t="n">
        <v>30</v>
      </c>
      <c r="D261" s="9" t="inlineStr">
        <is>
          <t>Sources — Tree &amp; Category Filters</t>
        </is>
      </c>
      <c r="E261" s="3" t="inlineStr">
        <is>
          <t>P0</t>
        </is>
      </c>
      <c r="F261" s="3" t="inlineStr">
        <is>
          <t>Locate **Source Tree** left panel.</t>
        </is>
      </c>
      <c r="G261" s="3" t="inlineStr">
        <is>
          <t>Tree shows Backtest Sessions and Live Journals.</t>
        </is>
      </c>
      <c r="H261" s="3" t="inlineStr">
        <is>
          <t>— Not tested</t>
        </is>
      </c>
      <c r="I261" s="3" t="inlineStr">
        <is>
          <t>— Not tested</t>
        </is>
      </c>
      <c r="J261" s="3" t="inlineStr">
        <is>
          <t>— Not tested</t>
        </is>
      </c>
    </row>
    <row r="262">
      <c r="A262" s="9" t="n">
        <v>261</v>
      </c>
      <c r="B262" s="9" t="inlineStr">
        <is>
          <t>4 — Sources</t>
        </is>
      </c>
      <c r="C262" s="9" t="n">
        <v>30</v>
      </c>
      <c r="D262" s="9" t="inlineStr">
        <is>
          <t>Sources — Tree &amp; Category Filters</t>
        </is>
      </c>
      <c r="E262" s="3" t="inlineStr">
        <is>
          <t>P0</t>
        </is>
      </c>
      <c r="F262" s="3" t="inlineStr">
        <is>
          <t>Expand **Backtest Sessions** → **Standard** / **Prop Firm**.</t>
        </is>
      </c>
      <c r="G262" s="3" t="inlineStr">
        <is>
          <t>Child nodes list sessions.</t>
        </is>
      </c>
      <c r="H262" s="3" t="inlineStr">
        <is>
          <t>— Not tested</t>
        </is>
      </c>
      <c r="I262" s="3" t="inlineStr">
        <is>
          <t>— Not tested</t>
        </is>
      </c>
      <c r="J262" s="3" t="inlineStr">
        <is>
          <t>— Not tested</t>
        </is>
      </c>
    </row>
    <row r="263">
      <c r="A263" s="9" t="n">
        <v>262</v>
      </c>
      <c r="B263" s="9" t="inlineStr">
        <is>
          <t>4 — Sources</t>
        </is>
      </c>
      <c r="C263" s="9" t="n">
        <v>30</v>
      </c>
      <c r="D263" s="9" t="inlineStr">
        <is>
          <t>Sources — Tree &amp; Category Filters</t>
        </is>
      </c>
      <c r="E263" s="3" t="inlineStr">
        <is>
          <t>P0</t>
        </is>
      </c>
      <c r="F263" s="3" t="inlineStr">
        <is>
          <t>Expand **Live Journals** → **Personal** / **Prop**.</t>
        </is>
      </c>
      <c r="G263" s="3" t="inlineStr">
        <is>
          <t>Journal accounts/entries listed.</t>
        </is>
      </c>
      <c r="H263" s="3" t="inlineStr">
        <is>
          <t>— Not tested</t>
        </is>
      </c>
      <c r="I263" s="3" t="inlineStr">
        <is>
          <t>— Not tested</t>
        </is>
      </c>
      <c r="J263" s="3" t="inlineStr">
        <is>
          <t>— Not tested</t>
        </is>
      </c>
    </row>
    <row r="264">
      <c r="A264" s="9" t="n">
        <v>263</v>
      </c>
      <c r="B264" s="9" t="inlineStr">
        <is>
          <t>4 — Sources</t>
        </is>
      </c>
      <c r="C264" s="9" t="n">
        <v>30</v>
      </c>
      <c r="D264" s="9" t="inlineStr">
        <is>
          <t>Sources — Tree &amp; Category Filters</t>
        </is>
      </c>
      <c r="E264" s="3" t="inlineStr">
        <is>
          <t>P1</t>
        </is>
      </c>
      <c r="F264" s="3" t="inlineStr">
        <is>
          <t>Click **Standard** mode filter.</t>
        </is>
      </c>
      <c r="G264" s="3" t="inlineStr">
        <is>
          <t>Only standard sessions in list.</t>
        </is>
      </c>
      <c r="H264" s="3" t="inlineStr">
        <is>
          <t>— Not tested</t>
        </is>
      </c>
      <c r="I264" s="3" t="inlineStr">
        <is>
          <t>— Not tested</t>
        </is>
      </c>
      <c r="J264" s="3" t="inlineStr">
        <is>
          <t>— Not tested</t>
        </is>
      </c>
    </row>
    <row r="265">
      <c r="A265" s="9" t="n">
        <v>264</v>
      </c>
      <c r="B265" s="9" t="inlineStr">
        <is>
          <t>4 — Sources</t>
        </is>
      </c>
      <c r="C265" s="9" t="n">
        <v>30</v>
      </c>
      <c r="D265" s="9" t="inlineStr">
        <is>
          <t>Sources — Tree &amp; Category Filters</t>
        </is>
      </c>
      <c r="E265" s="3" t="inlineStr">
        <is>
          <t>P1</t>
        </is>
      </c>
      <c r="F265" s="3" t="inlineStr">
        <is>
          <t>Click **Prop** mode filter.</t>
        </is>
      </c>
      <c r="G265" s="3" t="inlineStr">
        <is>
          <t>Only prop sessions.</t>
        </is>
      </c>
      <c r="H265" s="3" t="inlineStr">
        <is>
          <t>— Not tested</t>
        </is>
      </c>
      <c r="I265" s="3" t="inlineStr">
        <is>
          <t>— Not tested</t>
        </is>
      </c>
      <c r="J265" s="3" t="inlineStr">
        <is>
          <t>— Not tested</t>
        </is>
      </c>
    </row>
    <row r="266">
      <c r="A266" s="9" t="n">
        <v>265</v>
      </c>
      <c r="B266" s="9" t="inlineStr">
        <is>
          <t>4 — Sources</t>
        </is>
      </c>
      <c r="C266" s="9" t="n">
        <v>30</v>
      </c>
      <c r="D266" s="9" t="inlineStr">
        <is>
          <t>Sources — Tree &amp; Category Filters</t>
        </is>
      </c>
      <c r="E266" s="3" t="inlineStr">
        <is>
          <t>P1</t>
        </is>
      </c>
      <c r="F266" s="3" t="inlineStr">
        <is>
          <t>Status filter: **All / Not Started / Active / Completed**.</t>
        </is>
      </c>
      <c r="G266" s="3" t="inlineStr">
        <is>
          <t>List filters by progress.</t>
        </is>
      </c>
      <c r="H266" s="3" t="inlineStr">
        <is>
          <t>— Not tested</t>
        </is>
      </c>
      <c r="I266" s="3" t="inlineStr">
        <is>
          <t>— Not tested</t>
        </is>
      </c>
      <c r="J266" s="3" t="inlineStr">
        <is>
          <t>— Not tested</t>
        </is>
      </c>
    </row>
    <row r="267">
      <c r="A267" s="9" t="n">
        <v>266</v>
      </c>
      <c r="B267" s="9" t="inlineStr">
        <is>
          <t>4 — Sources</t>
        </is>
      </c>
      <c r="C267" s="9" t="n">
        <v>30</v>
      </c>
      <c r="D267" s="9" t="inlineStr">
        <is>
          <t>Sources — Tree &amp; Category Filters</t>
        </is>
      </c>
      <c r="E267" s="3" t="inlineStr">
        <is>
          <t>P1</t>
        </is>
      </c>
      <c r="F267" s="3" t="inlineStr">
        <is>
          <t>Journal type filters (Personal vs Prop).</t>
        </is>
      </c>
      <c r="G267" s="3" t="inlineStr">
        <is>
          <t>Journal list filters.</t>
        </is>
      </c>
      <c r="H267" s="3" t="inlineStr">
        <is>
          <t>— Not tested</t>
        </is>
      </c>
      <c r="I267" s="3" t="inlineStr">
        <is>
          <t>— Not tested</t>
        </is>
      </c>
      <c r="J267" s="3" t="inlineStr">
        <is>
          <t>— Not tested</t>
        </is>
      </c>
    </row>
    <row r="268">
      <c r="A268" s="9" t="n">
        <v>267</v>
      </c>
      <c r="B268" s="9" t="inlineStr">
        <is>
          <t>4 — Sources</t>
        </is>
      </c>
      <c r="C268" s="9" t="n">
        <v>30</v>
      </c>
      <c r="D268" s="9" t="inlineStr">
        <is>
          <t>Sources — Tree &amp; Category Filters</t>
        </is>
      </c>
      <c r="E268" s="3" t="inlineStr">
        <is>
          <t>P1</t>
        </is>
      </c>
      <c r="F268" s="3" t="inlineStr">
        <is>
          <t>Expand a **strategy group** node.</t>
        </is>
      </c>
      <c r="G268" s="3" t="inlineStr">
        <is>
          <t>Child sessions/journals under strategy appear.</t>
        </is>
      </c>
      <c r="H268" s="3" t="inlineStr">
        <is>
          <t>— Not tested</t>
        </is>
      </c>
      <c r="I268" s="3" t="inlineStr">
        <is>
          <t>— Not tested</t>
        </is>
      </c>
      <c r="J268" s="3" t="inlineStr">
        <is>
          <t>— Not tested</t>
        </is>
      </c>
    </row>
    <row r="269">
      <c r="A269" s="9" t="n">
        <v>268</v>
      </c>
      <c r="B269" s="9" t="inlineStr">
        <is>
          <t>4 — Sources</t>
        </is>
      </c>
      <c r="C269" s="9" t="n">
        <v>30</v>
      </c>
      <c r="D269" s="9" t="inlineStr">
        <is>
          <t>Sources — Tree &amp; Category Filters</t>
        </is>
      </c>
      <c r="E269" s="3" t="inlineStr">
        <is>
          <t>P2</t>
        </is>
      </c>
      <c r="F269" s="3" t="inlineStr">
        <is>
          <t>Collapse strategy group.</t>
        </is>
      </c>
      <c r="G269" s="3" t="inlineStr">
        <is>
          <t>Children hide.</t>
        </is>
      </c>
      <c r="H269" s="3" t="inlineStr">
        <is>
          <t>— Not tested</t>
        </is>
      </c>
      <c r="I269" s="3" t="inlineStr">
        <is>
          <t>— Not tested</t>
        </is>
      </c>
      <c r="J269" s="3" t="inlineStr">
        <is>
          <t>— Not tested</t>
        </is>
      </c>
    </row>
    <row r="270">
      <c r="A270" s="9" t="n">
        <v>269</v>
      </c>
      <c r="B270" s="9" t="inlineStr">
        <is>
          <t>4 — Sources</t>
        </is>
      </c>
      <c r="C270" s="9" t="n">
        <v>31</v>
      </c>
      <c r="D270" s="9" t="inlineStr">
        <is>
          <t>Sources — List, Selection &amp; Footer</t>
        </is>
      </c>
      <c r="E270" s="3" t="inlineStr">
        <is>
          <t>P0</t>
        </is>
      </c>
      <c r="F270" s="3" t="inlineStr">
        <is>
          <t>Click a **session row** in content list.</t>
        </is>
      </c>
      <c r="G270" s="3" t="inlineStr">
        <is>
          <t>Row highlights as selected.</t>
        </is>
      </c>
      <c r="H270" s="3" t="inlineStr">
        <is>
          <t>— Not tested</t>
        </is>
      </c>
      <c r="I270" s="3" t="inlineStr">
        <is>
          <t>— Not tested</t>
        </is>
      </c>
      <c r="J270" s="3" t="inlineStr">
        <is>
          <t>— Not tested</t>
        </is>
      </c>
    </row>
    <row r="271">
      <c r="A271" s="9" t="n">
        <v>270</v>
      </c>
      <c r="B271" s="9" t="inlineStr">
        <is>
          <t>4 — Sources</t>
        </is>
      </c>
      <c r="C271" s="9" t="n">
        <v>31</v>
      </c>
      <c r="D271" s="9" t="inlineStr">
        <is>
          <t>Sources — List, Selection &amp; Footer</t>
        </is>
      </c>
      <c r="E271" s="3" t="inlineStr">
        <is>
          <t>P1</t>
        </is>
      </c>
      <c r="F271" s="3" t="inlineStr">
        <is>
          <t>Verify row shows: name, date range, trade count, market label.</t>
        </is>
      </c>
      <c r="G271" s="3" t="inlineStr">
        <is>
          <t>Metadata correct.</t>
        </is>
      </c>
      <c r="H271" s="3" t="inlineStr">
        <is>
          <t>— Not tested</t>
        </is>
      </c>
      <c r="I271" s="3" t="inlineStr">
        <is>
          <t>— Not tested</t>
        </is>
      </c>
      <c r="J271" s="3" t="inlineStr">
        <is>
          <t>— Not tested</t>
        </is>
      </c>
    </row>
    <row r="272">
      <c r="A272" s="9" t="n">
        <v>271</v>
      </c>
      <c r="B272" s="9" t="inlineStr">
        <is>
          <t>4 — Sources</t>
        </is>
      </c>
      <c r="C272" s="9" t="n">
        <v>31</v>
      </c>
      <c r="D272" s="9" t="inlineStr">
        <is>
          <t>Sources — List, Selection &amp; Footer</t>
        </is>
      </c>
      <c r="E272" s="3" t="inlineStr">
        <is>
          <t>P1</t>
        </is>
      </c>
      <c r="F272" s="3" t="inlineStr">
        <is>
          <t>Select a **journal account** row.</t>
        </is>
      </c>
      <c r="G272" s="3" t="inlineStr">
        <is>
          <t>Account details and trade count show.</t>
        </is>
      </c>
      <c r="H272" s="3" t="inlineStr">
        <is>
          <t>— Not tested</t>
        </is>
      </c>
      <c r="I272" s="3" t="inlineStr">
        <is>
          <t>— Not tested</t>
        </is>
      </c>
      <c r="J272" s="3" t="inlineStr">
        <is>
          <t>— Not tested</t>
        </is>
      </c>
    </row>
    <row r="273">
      <c r="A273" s="9" t="n">
        <v>272</v>
      </c>
      <c r="B273" s="9" t="inlineStr">
        <is>
          <t>4 — Sources</t>
        </is>
      </c>
      <c r="C273" s="9" t="n">
        <v>31</v>
      </c>
      <c r="D273" s="9" t="inlineStr">
        <is>
          <t>Sources — List, Selection &amp; Footer</t>
        </is>
      </c>
      <c r="E273" s="3" t="inlineStr">
        <is>
          <t>P2</t>
        </is>
      </c>
      <c r="F273" s="3" t="inlineStr">
        <is>
          <t>Select a **journal entry** (single trade scope).</t>
        </is>
      </c>
      <c r="G273" s="3" t="inlineStr">
        <is>
          <t>Single-trade source selected.</t>
        </is>
      </c>
      <c r="H273" s="3" t="inlineStr">
        <is>
          <t>— Not tested</t>
        </is>
      </c>
      <c r="I273" s="3" t="inlineStr">
        <is>
          <t>— Not tested</t>
        </is>
      </c>
      <c r="J273" s="3" t="inlineStr">
        <is>
          <t>— Not tested</t>
        </is>
      </c>
    </row>
    <row r="274">
      <c r="A274" s="9" t="n">
        <v>273</v>
      </c>
      <c r="B274" s="9" t="inlineStr">
        <is>
          <t>4 — Sources</t>
        </is>
      </c>
      <c r="C274" s="9" t="n">
        <v>31</v>
      </c>
      <c r="D274" s="9" t="inlineStr">
        <is>
          <t>Sources — List, Selection &amp; Footer</t>
        </is>
      </c>
      <c r="E274" s="3" t="inlineStr">
        <is>
          <t>P1</t>
        </is>
      </c>
      <c r="F274" s="3" t="inlineStr">
        <is>
          <t>Select a **strategy** parent — toggle child checkboxes.</t>
        </is>
      </c>
      <c r="G274" s="3" t="inlineStr">
        <is>
          <t>Partial child selection supported.</t>
        </is>
      </c>
      <c r="H274" s="3" t="inlineStr">
        <is>
          <t>— Not tested</t>
        </is>
      </c>
      <c r="I274" s="3" t="inlineStr">
        <is>
          <t>— Not tested</t>
        </is>
      </c>
      <c r="J274" s="3" t="inlineStr">
        <is>
          <t>— Not tested</t>
        </is>
      </c>
    </row>
    <row r="275">
      <c r="A275" s="9" t="n">
        <v>274</v>
      </c>
      <c r="B275" s="9" t="inlineStr">
        <is>
          <t>4 — Sources</t>
        </is>
      </c>
      <c r="C275" s="9" t="n">
        <v>31</v>
      </c>
      <c r="D275" s="9" t="inlineStr">
        <is>
          <t>Sources — List, Selection &amp; Footer</t>
        </is>
      </c>
      <c r="E275" s="3" t="inlineStr">
        <is>
          <t>P0</t>
        </is>
      </c>
      <c r="F275" s="3" t="inlineStr">
        <is>
          <t>Footer shows: selected name, type badge, trade count.</t>
        </is>
      </c>
      <c r="G275" s="3" t="inlineStr">
        <is>
          <t>Footer updates on selection.</t>
        </is>
      </c>
      <c r="H275" s="3" t="inlineStr">
        <is>
          <t>— Not tested</t>
        </is>
      </c>
      <c r="I275" s="3" t="inlineStr">
        <is>
          <t>— Not tested</t>
        </is>
      </c>
      <c r="J275" s="3" t="inlineStr">
        <is>
          <t>— Not tested</t>
        </is>
      </c>
    </row>
    <row r="276">
      <c r="A276" s="9" t="n">
        <v>275</v>
      </c>
      <c r="B276" s="9" t="inlineStr">
        <is>
          <t>4 — Sources</t>
        </is>
      </c>
      <c r="C276" s="9" t="n">
        <v>31</v>
      </c>
      <c r="D276" s="9" t="inlineStr">
        <is>
          <t>Sources — List, Selection &amp; Footer</t>
        </is>
      </c>
      <c r="E276" s="3" t="inlineStr">
        <is>
          <t>P0</t>
        </is>
      </c>
      <c r="F276" s="3" t="inlineStr">
        <is>
          <t>Click **Cancel**.</t>
        </is>
      </c>
      <c r="G276" s="3" t="inlineStr">
        <is>
          <t>Overlay closes; previous source unchanged.</t>
        </is>
      </c>
      <c r="H276" s="3" t="inlineStr">
        <is>
          <t>— Not tested</t>
        </is>
      </c>
      <c r="I276" s="3" t="inlineStr">
        <is>
          <t>— Not tested</t>
        </is>
      </c>
      <c r="J276" s="3" t="inlineStr">
        <is>
          <t>— Not tested</t>
        </is>
      </c>
    </row>
    <row r="277">
      <c r="A277" s="9" t="n">
        <v>276</v>
      </c>
      <c r="B277" s="9" t="inlineStr">
        <is>
          <t>4 — Sources</t>
        </is>
      </c>
      <c r="C277" s="9" t="n">
        <v>31</v>
      </c>
      <c r="D277" s="9" t="inlineStr">
        <is>
          <t>Sources — List, Selection &amp; Footer</t>
        </is>
      </c>
      <c r="E277" s="3" t="inlineStr">
        <is>
          <t>P0</t>
        </is>
      </c>
      <c r="F277" s="3" t="inlineStr">
        <is>
          <t>Select different source → click **Go**.</t>
        </is>
      </c>
      <c r="G277" s="3" t="inlineStr">
        <is>
          <t>Overlay closes; dashboard/trades reload with new source.</t>
        </is>
      </c>
      <c r="H277" s="3" t="inlineStr">
        <is>
          <t>— Not tested</t>
        </is>
      </c>
      <c r="I277" s="3" t="inlineStr">
        <is>
          <t>— Not tested</t>
        </is>
      </c>
      <c r="J277" s="3" t="inlineStr">
        <is>
          <t>— Not tested</t>
        </is>
      </c>
    </row>
    <row r="278">
      <c r="A278" s="9" t="n">
        <v>277</v>
      </c>
      <c r="B278" s="9" t="inlineStr">
        <is>
          <t>4 — Sources</t>
        </is>
      </c>
      <c r="C278" s="9" t="n">
        <v>32</v>
      </c>
      <c r="D278" s="9" t="inlineStr">
        <is>
          <t>Sources — Go Behavior by Type</t>
        </is>
      </c>
      <c r="E278" s="3" t="inlineStr">
        <is>
          <t>P0</t>
        </is>
      </c>
      <c r="F278" s="3" t="inlineStr">
        <is>
          <t>Go with **backtest session** selected.</t>
        </is>
      </c>
      <c r="G278" s="3" t="inlineStr">
        <is>
          <t>Dashboard loads session metrics; URL may show sessionId.</t>
        </is>
      </c>
      <c r="H278" s="3" t="inlineStr">
        <is>
          <t>— Not tested</t>
        </is>
      </c>
      <c r="I278" s="3" t="inlineStr">
        <is>
          <t>— Not tested</t>
        </is>
      </c>
      <c r="J278" s="3" t="inlineStr">
        <is>
          <t>— Not tested</t>
        </is>
      </c>
    </row>
    <row r="279">
      <c r="A279" s="9" t="n">
        <v>278</v>
      </c>
      <c r="B279" s="9" t="inlineStr">
        <is>
          <t>4 — Sources</t>
        </is>
      </c>
      <c r="C279" s="9" t="n">
        <v>32</v>
      </c>
      <c r="D279" s="9" t="inlineStr">
        <is>
          <t>Sources — Go Behavior by Type</t>
        </is>
      </c>
      <c r="E279" s="3" t="inlineStr">
        <is>
          <t>P1</t>
        </is>
      </c>
      <c r="F279" s="3" t="inlineStr">
        <is>
          <t>Go with **strategy** (all children) selected.</t>
        </is>
      </c>
      <c r="G279" s="3" t="inlineStr">
        <is>
          <t>Aggregated metrics across linked sessions.</t>
        </is>
      </c>
      <c r="H279" s="3" t="inlineStr">
        <is>
          <t>— Not tested</t>
        </is>
      </c>
      <c r="I279" s="3" t="inlineStr">
        <is>
          <t>— Not tested</t>
        </is>
      </c>
      <c r="J279" s="3" t="inlineStr">
        <is>
          <t>— Not tested</t>
        </is>
      </c>
    </row>
    <row r="280">
      <c r="A280" s="9" t="n">
        <v>279</v>
      </c>
      <c r="B280" s="9" t="inlineStr">
        <is>
          <t>4 — Sources</t>
        </is>
      </c>
      <c r="C280" s="9" t="n">
        <v>32</v>
      </c>
      <c r="D280" s="9" t="inlineStr">
        <is>
          <t>Sources — Go Behavior by Type</t>
        </is>
      </c>
      <c r="E280" s="3" t="inlineStr">
        <is>
          <t>P1</t>
        </is>
      </c>
      <c r="F280" s="3" t="inlineStr">
        <is>
          <t>Go with **strategy** partial children selected.</t>
        </is>
      </c>
      <c r="G280" s="3" t="inlineStr">
        <is>
          <t>Metrics scope to selected children only; “N/M sources” label.</t>
        </is>
      </c>
      <c r="H280" s="3" t="inlineStr">
        <is>
          <t>— Not tested</t>
        </is>
      </c>
      <c r="I280" s="3" t="inlineStr">
        <is>
          <t>— Not tested</t>
        </is>
      </c>
      <c r="J280" s="3" t="inlineStr">
        <is>
          <t>— Not tested</t>
        </is>
      </c>
    </row>
    <row r="281">
      <c r="A281" s="9" t="n">
        <v>280</v>
      </c>
      <c r="B281" s="9" t="inlineStr">
        <is>
          <t>4 — Sources</t>
        </is>
      </c>
      <c r="C281" s="9" t="n">
        <v>32</v>
      </c>
      <c r="D281" s="9" t="inlineStr">
        <is>
          <t>Sources — Go Behavior by Type</t>
        </is>
      </c>
      <c r="E281" s="3" t="inlineStr">
        <is>
          <t>P0</t>
        </is>
      </c>
      <c r="F281" s="3" t="inlineStr">
        <is>
          <t>Go with **journal account** selected.</t>
        </is>
      </c>
      <c r="G281" s="3" t="inlineStr">
        <is>
          <t>Journal trades feed dashboard.</t>
        </is>
      </c>
      <c r="H281" s="3" t="inlineStr">
        <is>
          <t>— Not tested</t>
        </is>
      </c>
      <c r="I281" s="3" t="inlineStr">
        <is>
          <t>— Not tested</t>
        </is>
      </c>
      <c r="J281" s="3" t="inlineStr">
        <is>
          <t>— Not tested</t>
        </is>
      </c>
    </row>
    <row r="282">
      <c r="A282" s="9" t="n">
        <v>281</v>
      </c>
      <c r="B282" s="9" t="inlineStr">
        <is>
          <t>4 — Sources</t>
        </is>
      </c>
      <c r="C282" s="9" t="n">
        <v>32</v>
      </c>
      <c r="D282" s="9" t="inlineStr">
        <is>
          <t>Sources — Go Behavior by Type</t>
        </is>
      </c>
      <c r="E282" s="3" t="inlineStr">
        <is>
          <t>P2</t>
        </is>
      </c>
      <c r="F282" s="3" t="inlineStr">
        <is>
          <t>Go with **journal entry** selected.</t>
        </is>
      </c>
      <c r="G282" s="3" t="inlineStr">
        <is>
          <t>Single trade scope on dashboard.</t>
        </is>
      </c>
      <c r="H282" s="3" t="inlineStr">
        <is>
          <t>— Not tested</t>
        </is>
      </c>
      <c r="I282" s="3" t="inlineStr">
        <is>
          <t>— Not tested</t>
        </is>
      </c>
      <c r="J282" s="3" t="inlineStr">
        <is>
          <t>— Not tested</t>
        </is>
      </c>
    </row>
    <row r="283">
      <c r="A283" s="9" t="n">
        <v>282</v>
      </c>
      <c r="B283" s="9" t="inlineStr">
        <is>
          <t>4 — Sources</t>
        </is>
      </c>
      <c r="C283" s="9" t="n">
        <v>33</v>
      </c>
      <c r="D283" s="9" t="inlineStr">
        <is>
          <t>Sources — Header Actions</t>
        </is>
      </c>
      <c r="E283" s="3" t="inlineStr">
        <is>
          <t>P1</t>
        </is>
      </c>
      <c r="F283" s="3" t="inlineStr">
        <is>
          <t>In library header click **Create Session** (backtest context).</t>
        </is>
      </c>
      <c r="G283" s="3" t="inlineStr">
        <is>
          <t>New session flow opens.</t>
        </is>
      </c>
      <c r="H283" s="3" t="inlineStr">
        <is>
          <t>— Not tested</t>
        </is>
      </c>
      <c r="I283" s="3" t="inlineStr">
        <is>
          <t>— Not tested</t>
        </is>
      </c>
      <c r="J283" s="3" t="inlineStr">
        <is>
          <t>— Not tested</t>
        </is>
      </c>
    </row>
    <row r="284">
      <c r="A284" s="9" t="n">
        <v>283</v>
      </c>
      <c r="B284" s="9" t="inlineStr">
        <is>
          <t>4 — Sources</t>
        </is>
      </c>
      <c r="C284" s="9" t="n">
        <v>33</v>
      </c>
      <c r="D284" s="9" t="inlineStr">
        <is>
          <t>Sources — Header Actions</t>
        </is>
      </c>
      <c r="E284" s="3" t="inlineStr">
        <is>
          <t>P1</t>
        </is>
      </c>
      <c r="F284" s="3" t="inlineStr">
        <is>
          <t>In journal context click **Create Journal**.</t>
        </is>
      </c>
      <c r="G284" s="3" t="inlineStr">
        <is>
          <t>New journal account modal opens.</t>
        </is>
      </c>
      <c r="H284" s="3" t="inlineStr">
        <is>
          <t>— Not tested</t>
        </is>
      </c>
      <c r="I284" s="3" t="inlineStr">
        <is>
          <t>— Not tested</t>
        </is>
      </c>
      <c r="J284" s="3" t="inlineStr">
        <is>
          <t>— Not tested</t>
        </is>
      </c>
    </row>
    <row r="285">
      <c r="A285" s="9" t="n">
        <v>284</v>
      </c>
      <c r="B285" s="9" t="inlineStr">
        <is>
          <t>4 — Sources</t>
        </is>
      </c>
      <c r="C285" s="9" t="n">
        <v>33</v>
      </c>
      <c r="D285" s="9" t="inlineStr">
        <is>
          <t>Sources — Header Actions</t>
        </is>
      </c>
      <c r="E285" s="3" t="inlineStr">
        <is>
          <t>P1</t>
        </is>
      </c>
      <c r="F285" s="3" t="inlineStr">
        <is>
          <t>Click **Add Trade** (journal context).</t>
        </is>
      </c>
      <c r="G285" s="3" t="inlineStr">
        <is>
          <t>Add trade flow opens for journal.</t>
        </is>
      </c>
      <c r="H285" s="3" t="inlineStr">
        <is>
          <t>— Not tested</t>
        </is>
      </c>
      <c r="I285" s="3" t="inlineStr">
        <is>
          <t>— Not tested</t>
        </is>
      </c>
      <c r="J285" s="3" t="inlineStr">
        <is>
          <t>— Not tested</t>
        </is>
      </c>
    </row>
    <row r="286">
      <c r="A286" s="9" t="n">
        <v>285</v>
      </c>
      <c r="B286" s="9" t="inlineStr">
        <is>
          <t>4 — Sources</t>
        </is>
      </c>
      <c r="C286" s="9" t="n">
        <v>34</v>
      </c>
      <c r="D286" s="9" t="inlineStr">
        <is>
          <t>Applied Source Details (Dashboard Banner)</t>
        </is>
      </c>
      <c r="E286" s="3" t="inlineStr">
        <is>
          <t>P0</t>
        </is>
      </c>
      <c r="F286" s="3" t="inlineStr">
        <is>
          <t>After applying a source, read **banner/chip**: name + type badge.</t>
        </is>
      </c>
      <c r="G286" s="3" t="inlineStr">
        <is>
          <t>Backtest=blue, Journal=green, Strategy=blue.</t>
        </is>
      </c>
      <c r="H286" s="3" t="inlineStr">
        <is>
          <t>— Not tested</t>
        </is>
      </c>
      <c r="I286" s="3" t="inlineStr">
        <is>
          <t>— Not tested</t>
        </is>
      </c>
      <c r="J286" s="3" t="inlineStr">
        <is>
          <t>— Not tested</t>
        </is>
      </c>
    </row>
    <row r="287">
      <c r="A287" s="9" t="n">
        <v>286</v>
      </c>
      <c r="B287" s="9" t="inlineStr">
        <is>
          <t>4 — Sources</t>
        </is>
      </c>
      <c r="C287" s="9" t="n">
        <v>34</v>
      </c>
      <c r="D287" s="9" t="inlineStr">
        <is>
          <t>Applied Source Details (Dashboard Banner)</t>
        </is>
      </c>
      <c r="E287" s="3" t="inlineStr">
        <is>
          <t>P1</t>
        </is>
      </c>
      <c r="F287" s="3" t="inlineStr">
        <is>
          <t>Verify **trade count in scope** on banner.</t>
        </is>
      </c>
      <c r="G287" s="3" t="inlineStr">
        <is>
          <t>Count matches filtered trades.</t>
        </is>
      </c>
      <c r="H287" s="3" t="inlineStr">
        <is>
          <t>— Not tested</t>
        </is>
      </c>
      <c r="I287" s="3" t="inlineStr">
        <is>
          <t>— Not tested</t>
        </is>
      </c>
      <c r="J287" s="3" t="inlineStr">
        <is>
          <t>— Not tested</t>
        </is>
      </c>
    </row>
    <row r="288">
      <c r="A288" s="9" t="n">
        <v>287</v>
      </c>
      <c r="B288" s="9" t="inlineStr">
        <is>
          <t>4 — Sources</t>
        </is>
      </c>
      <c r="C288" s="9" t="n">
        <v>34</v>
      </c>
      <c r="D288" s="9" t="inlineStr">
        <is>
          <t>Applied Source Details (Dashboard Banner)</t>
        </is>
      </c>
      <c r="E288" s="3" t="inlineStr">
        <is>
          <t>P1</t>
        </is>
      </c>
      <c r="F288" s="3" t="inlineStr">
        <is>
          <t>Apply strategy with partial children — read “N/M sources” label.</t>
        </is>
      </c>
      <c r="G288" s="3" t="inlineStr">
        <is>
          <t>Partial selection label correct.</t>
        </is>
      </c>
      <c r="H288" s="3" t="inlineStr">
        <is>
          <t>— Not tested</t>
        </is>
      </c>
      <c r="I288" s="3" t="inlineStr">
        <is>
          <t>— Not tested</t>
        </is>
      </c>
      <c r="J288" s="3" t="inlineStr">
        <is>
          <t>— Not tested</t>
        </is>
      </c>
    </row>
    <row r="289">
      <c r="A289" s="9" t="n">
        <v>288</v>
      </c>
      <c r="B289" s="9" t="inlineStr">
        <is>
          <t>4 — Sources</t>
        </is>
      </c>
      <c r="C289" s="9" t="n">
        <v>34</v>
      </c>
      <c r="D289" s="9" t="inlineStr">
        <is>
          <t>Applied Source Details (Dashboard Banner)</t>
        </is>
      </c>
      <c r="E289" s="3" t="inlineStr">
        <is>
          <t>P2</t>
        </is>
      </c>
      <c r="F289" s="3" t="inlineStr">
        <is>
          <t>Empty journal: verify CTAs **Create Journal**, **Add Trade**, **Import**.</t>
        </is>
      </c>
      <c r="G289" s="3" t="inlineStr">
        <is>
          <t>CTAs visible and work.</t>
        </is>
      </c>
      <c r="H289" s="3" t="inlineStr">
        <is>
          <t>— Not tested</t>
        </is>
      </c>
      <c r="I289" s="3" t="inlineStr">
        <is>
          <t>— Not tested</t>
        </is>
      </c>
      <c r="J289" s="3" t="inlineStr">
        <is>
          <t>— Not tested</t>
        </is>
      </c>
    </row>
    <row r="290">
      <c r="A290" s="9" t="n">
        <v>289</v>
      </c>
      <c r="B290" s="9" t="inlineStr">
        <is>
          <t>4 — Sources</t>
        </is>
      </c>
      <c r="C290" s="9" t="n">
        <v>35</v>
      </c>
      <c r="D290" s="9" t="inlineStr">
        <is>
          <t>Compare Sources Mode</t>
        </is>
      </c>
      <c r="E290" s="3" t="inlineStr">
        <is>
          <t>P1</t>
        </is>
      </c>
      <c r="F290" s="3" t="inlineStr">
        <is>
          <t>Enable **Compare mode** from dashboard.</t>
        </is>
      </c>
      <c r="G290" s="3" t="inlineStr">
        <is>
          <t>Compare picker opens.</t>
        </is>
      </c>
      <c r="H290" s="3" t="inlineStr">
        <is>
          <t>— Not tested</t>
        </is>
      </c>
      <c r="I290" s="3" t="inlineStr">
        <is>
          <t>— Not tested</t>
        </is>
      </c>
      <c r="J290" s="3" t="inlineStr">
        <is>
          <t>— Not tested</t>
        </is>
      </c>
    </row>
    <row r="291">
      <c r="A291" s="9" t="n">
        <v>290</v>
      </c>
      <c r="B291" s="9" t="inlineStr">
        <is>
          <t>4 — Sources</t>
        </is>
      </c>
      <c r="C291" s="9" t="n">
        <v>35</v>
      </c>
      <c r="D291" s="9" t="inlineStr">
        <is>
          <t>Compare Sources Mode</t>
        </is>
      </c>
      <c r="E291" s="3" t="inlineStr">
        <is>
          <t>P1</t>
        </is>
      </c>
      <c r="F291" s="3" t="inlineStr">
        <is>
          <t>Tabs: **Backtests / Strategies / Journals**.</t>
        </is>
      </c>
      <c r="G291" s="3" t="inlineStr">
        <is>
          <t>Each tab lists correct source types.</t>
        </is>
      </c>
      <c r="H291" s="3" t="inlineStr">
        <is>
          <t>— Not tested</t>
        </is>
      </c>
      <c r="I291" s="3" t="inlineStr">
        <is>
          <t>— Not tested</t>
        </is>
      </c>
      <c r="J291" s="3" t="inlineStr">
        <is>
          <t>— Not tested</t>
        </is>
      </c>
    </row>
    <row r="292">
      <c r="A292" s="9" t="n">
        <v>291</v>
      </c>
      <c r="B292" s="9" t="inlineStr">
        <is>
          <t>4 — Sources</t>
        </is>
      </c>
      <c r="C292" s="9" t="n">
        <v>35</v>
      </c>
      <c r="D292" s="9" t="inlineStr">
        <is>
          <t>Compare Sources Mode</t>
        </is>
      </c>
      <c r="E292" s="3" t="inlineStr">
        <is>
          <t>P1</t>
        </is>
      </c>
      <c r="F292" s="3" t="inlineStr">
        <is>
          <t>Multi-select two sessions for compare.</t>
        </is>
      </c>
      <c r="G292" s="3" t="inlineStr">
        <is>
          <t>Both sources active in compare chip.</t>
        </is>
      </c>
      <c r="H292" s="3" t="inlineStr">
        <is>
          <t>— Not tested</t>
        </is>
      </c>
      <c r="I292" s="3" t="inlineStr">
        <is>
          <t>— Not tested</t>
        </is>
      </c>
      <c r="J292" s="3" t="inlineStr">
        <is>
          <t>— Not tested</t>
        </is>
      </c>
    </row>
    <row r="293">
      <c r="A293" s="9" t="n">
        <v>292</v>
      </c>
      <c r="B293" s="9" t="inlineStr">
        <is>
          <t>4 — Sources</t>
        </is>
      </c>
      <c r="C293" s="9" t="n">
        <v>35</v>
      </c>
      <c r="D293" s="9" t="inlineStr">
        <is>
          <t>Compare Sources Mode</t>
        </is>
      </c>
      <c r="E293" s="3" t="inlineStr">
        <is>
          <t>P2</t>
        </is>
      </c>
      <c r="F293" s="3" t="inlineStr">
        <is>
          <t>Toggle strategy child sources in compare.</t>
        </is>
      </c>
      <c r="G293" s="3" t="inlineStr">
        <is>
          <t>Sub-source selection works.</t>
        </is>
      </c>
      <c r="H293" s="3" t="inlineStr">
        <is>
          <t>— Not tested</t>
        </is>
      </c>
      <c r="I293" s="3" t="inlineStr">
        <is>
          <t>— Not tested</t>
        </is>
      </c>
      <c r="J293" s="3" t="inlineStr">
        <is>
          <t>— Not tested</t>
        </is>
      </c>
    </row>
    <row r="294">
      <c r="A294" s="9" t="n">
        <v>293</v>
      </c>
      <c r="B294" s="9" t="inlineStr">
        <is>
          <t>4 — Sources</t>
        </is>
      </c>
      <c r="C294" s="9" t="n">
        <v>35</v>
      </c>
      <c r="D294" s="9" t="inlineStr">
        <is>
          <t>Compare Sources Mode</t>
        </is>
      </c>
      <c r="E294" s="3" t="inlineStr">
        <is>
          <t>P2</t>
        </is>
      </c>
      <c r="F294" s="3" t="inlineStr">
        <is>
          <t>Open **Compare filters** window.</t>
        </is>
      </c>
      <c r="G294" s="3" t="inlineStr">
        <is>
          <t>Separate filter scope for compare view.</t>
        </is>
      </c>
      <c r="H294" s="3" t="inlineStr">
        <is>
          <t>— Not tested</t>
        </is>
      </c>
      <c r="I294" s="3" t="inlineStr">
        <is>
          <t>— Not tested</t>
        </is>
      </c>
      <c r="J294" s="3" t="inlineStr">
        <is>
          <t>— Not tested</t>
        </is>
      </c>
    </row>
    <row r="295">
      <c r="A295" s="9" t="n">
        <v>294</v>
      </c>
      <c r="B295" s="9" t="inlineStr">
        <is>
          <t>4 — Sources</t>
        </is>
      </c>
      <c r="C295" s="9" t="n">
        <v>35</v>
      </c>
      <c r="D295" s="9" t="inlineStr">
        <is>
          <t>Compare Sources Mode</t>
        </is>
      </c>
      <c r="E295" s="3" t="inlineStr">
        <is>
          <t>P1</t>
        </is>
      </c>
      <c r="F295" s="3" t="inlineStr">
        <is>
          <t>Click **Clear compare** (trash icon).</t>
        </is>
      </c>
      <c r="G295" s="3" t="inlineStr">
        <is>
          <t>Compare mode exits; single source restored.</t>
        </is>
      </c>
      <c r="H295" s="3" t="inlineStr">
        <is>
          <t>— Not tested</t>
        </is>
      </c>
      <c r="I295" s="3" t="inlineStr">
        <is>
          <t>— Not tested</t>
        </is>
      </c>
      <c r="J295" s="3" t="inlineStr">
        <is>
          <t>— Not tested</t>
        </is>
      </c>
    </row>
    <row r="296">
      <c r="A296" s="9" t="n">
        <v>295</v>
      </c>
      <c r="B296" s="9" t="inlineStr">
        <is>
          <t>4 — Sources</t>
        </is>
      </c>
      <c r="C296" s="9" t="n">
        <v>35</v>
      </c>
      <c r="D296" s="9" t="inlineStr">
        <is>
          <t>Compare Sources Mode</t>
        </is>
      </c>
      <c r="E296" s="3" t="inlineStr">
        <is>
          <t>P1</t>
        </is>
      </c>
      <c r="F296" s="3" t="inlineStr">
        <is>
          <t>Verify dashboard metrics update for compare view.</t>
        </is>
      </c>
      <c r="G296" s="3" t="inlineStr">
        <is>
          <t>Side-by-side or combined metrics display.</t>
        </is>
      </c>
      <c r="H296" s="3" t="inlineStr">
        <is>
          <t>— Not tested</t>
        </is>
      </c>
      <c r="I296" s="3" t="inlineStr">
        <is>
          <t>— Not tested</t>
        </is>
      </c>
      <c r="J296" s="3" t="inlineStr">
        <is>
          <t>— Not tested</t>
        </is>
      </c>
    </row>
  </sheetData>
  <autoFilter ref="A1:L296"/>
  <dataValidations count="2">
    <dataValidation sqref="H2:I296" showDropDown="0" showInputMessage="0" showErrorMessage="0" allowBlank="1" type="list">
      <formula1>"☑ Pass,☐ Fail,⚠ Partial,— Not tested"</formula1>
    </dataValidation>
    <dataValidation sqref="J2:J296" showDropDown="0" showInputMessage="0" showErrorMessage="0" allowBlank="1" type="list">
      <formula1>"☑ Yes,☐ No,— 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6" customWidth="1" min="3" max="3"/>
    <col width="8" customWidth="1" min="4" max="4"/>
    <col width="10" customWidth="1" min="5" max="5"/>
    <col width="10" customWidth="1" min="6" max="6"/>
    <col width="8" customWidth="1" min="7" max="7"/>
    <col width="8" customWidth="1" min="8" max="8"/>
    <col width="10" customWidth="1" min="9" max="9"/>
  </cols>
  <sheetData>
    <row r="1">
      <c r="A1" s="10" t="inlineStr">
        <is>
          <t>Phase</t>
        </is>
      </c>
      <c r="B1" s="10" t="inlineStr">
        <is>
          <t>Phase Name</t>
        </is>
      </c>
      <c r="C1" s="10" t="inlineStr">
        <is>
          <t>Section</t>
        </is>
      </c>
      <c r="D1" s="10" t="inlineStr">
        <is>
          <t>Steps</t>
        </is>
      </c>
      <c r="E1" s="10" t="inlineStr">
        <is>
          <t>A Pass</t>
        </is>
      </c>
      <c r="F1" s="10" t="inlineStr">
        <is>
          <t>B Pass</t>
        </is>
      </c>
      <c r="G1" s="10" t="inlineStr">
        <is>
          <t>Fails</t>
        </is>
      </c>
      <c r="H1" s="10" t="inlineStr">
        <is>
          <t>Issues</t>
        </is>
      </c>
      <c r="I1" s="10" t="inlineStr">
        <is>
          <t>Done %</t>
        </is>
      </c>
    </row>
    <row r="2">
      <c r="A2" t="n">
        <v>1</v>
      </c>
      <c r="B2" t="inlineStr">
        <is>
          <t>Navigate to Strategy Bank</t>
        </is>
      </c>
      <c r="C2" t="inlineStr">
        <is>
          <t>1 — Strategies</t>
        </is>
      </c>
      <c r="D2">
        <f>COUNTIFS('QA Tracker'!C:C,1)</f>
        <v/>
      </c>
      <c r="E2">
        <f>COUNTIFS('QA Tracker'!C:C,1,'QA Tracker'!H:H,"☑ Pass")</f>
        <v/>
      </c>
      <c r="F2">
        <f>COUNTIFS('QA Tracker'!C:C,1,'QA Tracker'!I:I,"☑ Pass")</f>
        <v/>
      </c>
      <c r="G2">
        <f>COUNTIFS('QA Tracker'!C:C,1,'QA Tracker'!H:H,"☐ Fail")+COUNTIFS('QA Tracker'!C:C,1,'QA Tracker'!I:I,"☐ Fail")</f>
        <v/>
      </c>
      <c r="H2">
        <f>COUNTIFS('QA Tracker'!C:C,1,'QA Tracker'!J:J,"☑ Yes")</f>
        <v/>
      </c>
      <c r="I2">
        <f>IF(D2=0,0,ROUND((E2+F2)/(D2*2)*100,0)&amp;"%")</f>
        <v/>
      </c>
    </row>
    <row r="3">
      <c r="A3" t="n">
        <v>2</v>
      </c>
      <c r="B3" t="inlineStr">
        <is>
          <t>Strategy Bank — Page Controls</t>
        </is>
      </c>
      <c r="C3" t="inlineStr">
        <is>
          <t>1 — Strategies</t>
        </is>
      </c>
      <c r="D3">
        <f>COUNTIFS('QA Tracker'!C:C,2)</f>
        <v/>
      </c>
      <c r="E3">
        <f>COUNTIFS('QA Tracker'!C:C,2,'QA Tracker'!H:H,"☑ Pass")</f>
        <v/>
      </c>
      <c r="F3">
        <f>COUNTIFS('QA Tracker'!C:C,2,'QA Tracker'!I:I,"☑ Pass")</f>
        <v/>
      </c>
      <c r="G3">
        <f>COUNTIFS('QA Tracker'!C:C,2,'QA Tracker'!H:H,"☐ Fail")+COUNTIFS('QA Tracker'!C:C,2,'QA Tracker'!I:I,"☐ Fail")</f>
        <v/>
      </c>
      <c r="H3">
        <f>COUNTIFS('QA Tracker'!C:C,2,'QA Tracker'!J:J,"☑ Yes")</f>
        <v/>
      </c>
      <c r="I3">
        <f>IF(D3=0,0,ROUND((E3+F3)/(D3*2)*100,0)&amp;"%")</f>
        <v/>
      </c>
    </row>
    <row r="4">
      <c r="A4" t="n">
        <v>3</v>
      </c>
      <c r="B4" t="inlineStr">
        <is>
          <t>Strategy Bank — Cards, Rows &amp; Actions</t>
        </is>
      </c>
      <c r="C4" t="inlineStr">
        <is>
          <t>1 — Strategies</t>
        </is>
      </c>
      <c r="D4">
        <f>COUNTIFS('QA Tracker'!C:C,3)</f>
        <v/>
      </c>
      <c r="E4">
        <f>COUNTIFS('QA Tracker'!C:C,3,'QA Tracker'!H:H,"☑ Pass")</f>
        <v/>
      </c>
      <c r="F4">
        <f>COUNTIFS('QA Tracker'!C:C,3,'QA Tracker'!I:I,"☑ Pass")</f>
        <v/>
      </c>
      <c r="G4">
        <f>COUNTIFS('QA Tracker'!C:C,3,'QA Tracker'!H:H,"☐ Fail")+COUNTIFS('QA Tracker'!C:C,3,'QA Tracker'!I:I,"☐ Fail")</f>
        <v/>
      </c>
      <c r="H4">
        <f>COUNTIFS('QA Tracker'!C:C,3,'QA Tracker'!J:J,"☑ Yes")</f>
        <v/>
      </c>
      <c r="I4">
        <f>IF(D4=0,0,ROUND((E4+F4)/(D4*2)*100,0)&amp;"%")</f>
        <v/>
      </c>
    </row>
    <row r="5">
      <c r="A5" t="n">
        <v>4</v>
      </c>
      <c r="B5" t="inlineStr">
        <is>
          <t>Template Picker &amp; New Strategy</t>
        </is>
      </c>
      <c r="C5" t="inlineStr">
        <is>
          <t>1 — Strategies</t>
        </is>
      </c>
      <c r="D5">
        <f>COUNTIFS('QA Tracker'!C:C,4)</f>
        <v/>
      </c>
      <c r="E5">
        <f>COUNTIFS('QA Tracker'!C:C,4,'QA Tracker'!H:H,"☑ Pass")</f>
        <v/>
      </c>
      <c r="F5">
        <f>COUNTIFS('QA Tracker'!C:C,4,'QA Tracker'!I:I,"☑ Pass")</f>
        <v/>
      </c>
      <c r="G5">
        <f>COUNTIFS('QA Tracker'!C:C,4,'QA Tracker'!H:H,"☐ Fail")+COUNTIFS('QA Tracker'!C:C,4,'QA Tracker'!I:I,"☐ Fail")</f>
        <v/>
      </c>
      <c r="H5">
        <f>COUNTIFS('QA Tracker'!C:C,4,'QA Tracker'!J:J,"☑ Yes")</f>
        <v/>
      </c>
      <c r="I5">
        <f>IF(D5=0,0,ROUND((E5+F5)/(D5*2)*100,0)&amp;"%")</f>
        <v/>
      </c>
    </row>
    <row r="6">
      <c r="A6" t="n">
        <v>5</v>
      </c>
      <c r="B6" t="inlineStr">
        <is>
          <t>Strategy Builder — Shell &amp; Navigation</t>
        </is>
      </c>
      <c r="C6" t="inlineStr">
        <is>
          <t>1 — Strategies</t>
        </is>
      </c>
      <c r="D6">
        <f>COUNTIFS('QA Tracker'!C:C,5)</f>
        <v/>
      </c>
      <c r="E6">
        <f>COUNTIFS('QA Tracker'!C:C,5,'QA Tracker'!H:H,"☑ Pass")</f>
        <v/>
      </c>
      <c r="F6">
        <f>COUNTIFS('QA Tracker'!C:C,5,'QA Tracker'!I:I,"☑ Pass")</f>
        <v/>
      </c>
      <c r="G6">
        <f>COUNTIFS('QA Tracker'!C:C,5,'QA Tracker'!H:H,"☐ Fail")+COUNTIFS('QA Tracker'!C:C,5,'QA Tracker'!I:I,"☐ Fail")</f>
        <v/>
      </c>
      <c r="H6">
        <f>COUNTIFS('QA Tracker'!C:C,5,'QA Tracker'!J:J,"☑ Yes")</f>
        <v/>
      </c>
      <c r="I6">
        <f>IF(D6=0,0,ROUND((E6+F6)/(D6*2)*100,0)&amp;"%")</f>
        <v/>
      </c>
    </row>
    <row r="7">
      <c r="A7" t="n">
        <v>6</v>
      </c>
      <c r="B7" t="inlineStr">
        <is>
          <t>Builder Step 1 — General Info (every field)</t>
        </is>
      </c>
      <c r="C7" t="inlineStr">
        <is>
          <t>1 — Strategies</t>
        </is>
      </c>
      <c r="D7">
        <f>COUNTIFS('QA Tracker'!C:C,6)</f>
        <v/>
      </c>
      <c r="E7">
        <f>COUNTIFS('QA Tracker'!C:C,6,'QA Tracker'!H:H,"☑ Pass")</f>
        <v/>
      </c>
      <c r="F7">
        <f>COUNTIFS('QA Tracker'!C:C,6,'QA Tracker'!I:I,"☑ Pass")</f>
        <v/>
      </c>
      <c r="G7">
        <f>COUNTIFS('QA Tracker'!C:C,6,'QA Tracker'!H:H,"☐ Fail")+COUNTIFS('QA Tracker'!C:C,6,'QA Tracker'!I:I,"☐ Fail")</f>
        <v/>
      </c>
      <c r="H7">
        <f>COUNTIFS('QA Tracker'!C:C,6,'QA Tracker'!J:J,"☑ Yes")</f>
        <v/>
      </c>
      <c r="I7">
        <f>IF(D7=0,0,ROUND((E7+F7)/(D7*2)*100,0)&amp;"%")</f>
        <v/>
      </c>
    </row>
    <row r="8">
      <c r="A8" t="n">
        <v>7</v>
      </c>
      <c r="B8" t="inlineStr">
        <is>
          <t>Builder Step 2 — Strategy Flow Canvas</t>
        </is>
      </c>
      <c r="C8" t="inlineStr">
        <is>
          <t>1 — Strategies</t>
        </is>
      </c>
      <c r="D8">
        <f>COUNTIFS('QA Tracker'!C:C,7)</f>
        <v/>
      </c>
      <c r="E8">
        <f>COUNTIFS('QA Tracker'!C:C,7,'QA Tracker'!H:H,"☑ Pass")</f>
        <v/>
      </c>
      <c r="F8">
        <f>COUNTIFS('QA Tracker'!C:C,7,'QA Tracker'!I:I,"☑ Pass")</f>
        <v/>
      </c>
      <c r="G8">
        <f>COUNTIFS('QA Tracker'!C:C,7,'QA Tracker'!H:H,"☐ Fail")+COUNTIFS('QA Tracker'!C:C,7,'QA Tracker'!I:I,"☐ Fail")</f>
        <v/>
      </c>
      <c r="H8">
        <f>COUNTIFS('QA Tracker'!C:C,7,'QA Tracker'!J:J,"☑ Yes")</f>
        <v/>
      </c>
      <c r="I8">
        <f>IF(D8=0,0,ROUND((E8+F8)/(D8*2)*100,0)&amp;"%")</f>
        <v/>
      </c>
    </row>
    <row r="9">
      <c r="A9" t="n">
        <v>8</v>
      </c>
      <c r="B9" t="inlineStr">
        <is>
          <t>Builder Step 3 — Trade Tags</t>
        </is>
      </c>
      <c r="C9" t="inlineStr">
        <is>
          <t>1 — Strategies</t>
        </is>
      </c>
      <c r="D9">
        <f>COUNTIFS('QA Tracker'!C:C,8)</f>
        <v/>
      </c>
      <c r="E9">
        <f>COUNTIFS('QA Tracker'!C:C,8,'QA Tracker'!H:H,"☑ Pass")</f>
        <v/>
      </c>
      <c r="F9">
        <f>COUNTIFS('QA Tracker'!C:C,8,'QA Tracker'!I:I,"☑ Pass")</f>
        <v/>
      </c>
      <c r="G9">
        <f>COUNTIFS('QA Tracker'!C:C,8,'QA Tracker'!H:H,"☐ Fail")+COUNTIFS('QA Tracker'!C:C,8,'QA Tracker'!I:I,"☐ Fail")</f>
        <v/>
      </c>
      <c r="H9">
        <f>COUNTIFS('QA Tracker'!C:C,8,'QA Tracker'!J:J,"☑ Yes")</f>
        <v/>
      </c>
      <c r="I9">
        <f>IF(D9=0,0,ROUND((E9+F9)/(D9*2)*100,0)&amp;"%")</f>
        <v/>
      </c>
    </row>
    <row r="10">
      <c r="A10" t="n">
        <v>9</v>
      </c>
      <c r="B10" t="inlineStr">
        <is>
          <t>Builder Step 4 — Review &amp; Save</t>
        </is>
      </c>
      <c r="C10" t="inlineStr">
        <is>
          <t>1 — Strategies</t>
        </is>
      </c>
      <c r="D10">
        <f>COUNTIFS('QA Tracker'!C:C,9)</f>
        <v/>
      </c>
      <c r="E10">
        <f>COUNTIFS('QA Tracker'!C:C,9,'QA Tracker'!H:H,"☑ Pass")</f>
        <v/>
      </c>
      <c r="F10">
        <f>COUNTIFS('QA Tracker'!C:C,9,'QA Tracker'!I:I,"☑ Pass")</f>
        <v/>
      </c>
      <c r="G10">
        <f>COUNTIFS('QA Tracker'!C:C,9,'QA Tracker'!H:H,"☐ Fail")+COUNTIFS('QA Tracker'!C:C,9,'QA Tracker'!I:I,"☐ Fail")</f>
        <v/>
      </c>
      <c r="H10">
        <f>COUNTIFS('QA Tracker'!C:C,9,'QA Tracker'!J:J,"☑ Yes")</f>
        <v/>
      </c>
      <c r="I10">
        <f>IF(D10=0,0,ROUND((E10+F10)/(D10*2)*100,0)&amp;"%")</f>
        <v/>
      </c>
    </row>
    <row r="11">
      <c r="A11" t="n">
        <v>10</v>
      </c>
      <c r="B11" t="inlineStr">
        <is>
          <t>Navigate to Sessions Page</t>
        </is>
      </c>
      <c r="C11" t="inlineStr">
        <is>
          <t>2 — Sessions</t>
        </is>
      </c>
      <c r="D11">
        <f>COUNTIFS('QA Tracker'!C:C,10)</f>
        <v/>
      </c>
      <c r="E11">
        <f>COUNTIFS('QA Tracker'!C:C,10,'QA Tracker'!H:H,"☑ Pass")</f>
        <v/>
      </c>
      <c r="F11">
        <f>COUNTIFS('QA Tracker'!C:C,10,'QA Tracker'!I:I,"☑ Pass")</f>
        <v/>
      </c>
      <c r="G11">
        <f>COUNTIFS('QA Tracker'!C:C,10,'QA Tracker'!H:H,"☐ Fail")+COUNTIFS('QA Tracker'!C:C,10,'QA Tracker'!I:I,"☐ Fail")</f>
        <v/>
      </c>
      <c r="H11">
        <f>COUNTIFS('QA Tracker'!C:C,10,'QA Tracker'!J:J,"☑ Yes")</f>
        <v/>
      </c>
      <c r="I11">
        <f>IF(D11=0,0,ROUND((E11+F11)/(D11*2)*100,0)&amp;"%")</f>
        <v/>
      </c>
    </row>
    <row r="12">
      <c r="A12" t="n">
        <v>11</v>
      </c>
      <c r="B12" t="inlineStr">
        <is>
          <t>Sessions — Stats Dashboard</t>
        </is>
      </c>
      <c r="C12" t="inlineStr">
        <is>
          <t>2 — Sessions</t>
        </is>
      </c>
      <c r="D12">
        <f>COUNTIFS('QA Tracker'!C:C,11)</f>
        <v/>
      </c>
      <c r="E12">
        <f>COUNTIFS('QA Tracker'!C:C,11,'QA Tracker'!H:H,"☑ Pass")</f>
        <v/>
      </c>
      <c r="F12">
        <f>COUNTIFS('QA Tracker'!C:C,11,'QA Tracker'!I:I,"☑ Pass")</f>
        <v/>
      </c>
      <c r="G12">
        <f>COUNTIFS('QA Tracker'!C:C,11,'QA Tracker'!H:H,"☐ Fail")+COUNTIFS('QA Tracker'!C:C,11,'QA Tracker'!I:I,"☐ Fail")</f>
        <v/>
      </c>
      <c r="H12">
        <f>COUNTIFS('QA Tracker'!C:C,11,'QA Tracker'!J:J,"☑ Yes")</f>
        <v/>
      </c>
      <c r="I12">
        <f>IF(D12=0,0,ROUND((E12+F12)/(D12*2)*100,0)&amp;"%")</f>
        <v/>
      </c>
    </row>
    <row r="13">
      <c r="A13" t="n">
        <v>12</v>
      </c>
      <c r="B13" t="inlineStr">
        <is>
          <t>Sessions — Filters, Search, Sort</t>
        </is>
      </c>
      <c r="C13" t="inlineStr">
        <is>
          <t>2 — Sessions</t>
        </is>
      </c>
      <c r="D13">
        <f>COUNTIFS('QA Tracker'!C:C,12)</f>
        <v/>
      </c>
      <c r="E13">
        <f>COUNTIFS('QA Tracker'!C:C,12,'QA Tracker'!H:H,"☑ Pass")</f>
        <v/>
      </c>
      <c r="F13">
        <f>COUNTIFS('QA Tracker'!C:C,12,'QA Tracker'!I:I,"☑ Pass")</f>
        <v/>
      </c>
      <c r="G13">
        <f>COUNTIFS('QA Tracker'!C:C,12,'QA Tracker'!H:H,"☐ Fail")+COUNTIFS('QA Tracker'!C:C,12,'QA Tracker'!I:I,"☐ Fail")</f>
        <v/>
      </c>
      <c r="H13">
        <f>COUNTIFS('QA Tracker'!C:C,12,'QA Tracker'!J:J,"☑ Yes")</f>
        <v/>
      </c>
      <c r="I13">
        <f>IF(D13=0,0,ROUND((E13+F13)/(D13*2)*100,0)&amp;"%")</f>
        <v/>
      </c>
    </row>
    <row r="14">
      <c r="A14" t="n">
        <v>13</v>
      </c>
      <c r="B14" t="inlineStr">
        <is>
          <t>Sessions — Card/Row Content &amp; Actions</t>
        </is>
      </c>
      <c r="C14" t="inlineStr">
        <is>
          <t>2 — Sessions</t>
        </is>
      </c>
      <c r="D14">
        <f>COUNTIFS('QA Tracker'!C:C,13)</f>
        <v/>
      </c>
      <c r="E14">
        <f>COUNTIFS('QA Tracker'!C:C,13,'QA Tracker'!H:H,"☑ Pass")</f>
        <v/>
      </c>
      <c r="F14">
        <f>COUNTIFS('QA Tracker'!C:C,13,'QA Tracker'!I:I,"☑ Pass")</f>
        <v/>
      </c>
      <c r="G14">
        <f>COUNTIFS('QA Tracker'!C:C,13,'QA Tracker'!H:H,"☐ Fail")+COUNTIFS('QA Tracker'!C:C,13,'QA Tracker'!I:I,"☐ Fail")</f>
        <v/>
      </c>
      <c r="H14">
        <f>COUNTIFS('QA Tracker'!C:C,13,'QA Tracker'!J:J,"☑ Yes")</f>
        <v/>
      </c>
      <c r="I14">
        <f>IF(D14=0,0,ROUND((E14+F14)/(D14*2)*100,0)&amp;"%")</f>
        <v/>
      </c>
    </row>
    <row r="15">
      <c r="A15" t="n">
        <v>14</v>
      </c>
      <c r="B15" t="inlineStr">
        <is>
          <t>New Session — Kind Picker (Backtest vs Journal)</t>
        </is>
      </c>
      <c r="C15" t="inlineStr">
        <is>
          <t>2 — Sessions</t>
        </is>
      </c>
      <c r="D15">
        <f>COUNTIFS('QA Tracker'!C:C,14)</f>
        <v/>
      </c>
      <c r="E15">
        <f>COUNTIFS('QA Tracker'!C:C,14,'QA Tracker'!H:H,"☑ Pass")</f>
        <v/>
      </c>
      <c r="F15">
        <f>COUNTIFS('QA Tracker'!C:C,14,'QA Tracker'!I:I,"☑ Pass")</f>
        <v/>
      </c>
      <c r="G15">
        <f>COUNTIFS('QA Tracker'!C:C,14,'QA Tracker'!H:H,"☐ Fail")+COUNTIFS('QA Tracker'!C:C,14,'QA Tracker'!I:I,"☐ Fail")</f>
        <v/>
      </c>
      <c r="H15">
        <f>COUNTIFS('QA Tracker'!C:C,14,'QA Tracker'!J:J,"☑ Yes")</f>
        <v/>
      </c>
      <c r="I15">
        <f>IF(D15=0,0,ROUND((E15+F15)/(D15*2)*100,0)&amp;"%")</f>
        <v/>
      </c>
    </row>
    <row r="16">
      <c r="A16" t="n">
        <v>15</v>
      </c>
      <c r="B16" t="inlineStr">
        <is>
          <t>Add Session Modal — Session Info</t>
        </is>
      </c>
      <c r="C16" t="inlineStr">
        <is>
          <t>2 — Sessions</t>
        </is>
      </c>
      <c r="D16">
        <f>COUNTIFS('QA Tracker'!C:C,15)</f>
        <v/>
      </c>
      <c r="E16">
        <f>COUNTIFS('QA Tracker'!C:C,15,'QA Tracker'!H:H,"☑ Pass")</f>
        <v/>
      </c>
      <c r="F16">
        <f>COUNTIFS('QA Tracker'!C:C,15,'QA Tracker'!I:I,"☑ Pass")</f>
        <v/>
      </c>
      <c r="G16">
        <f>COUNTIFS('QA Tracker'!C:C,15,'QA Tracker'!H:H,"☐ Fail")+COUNTIFS('QA Tracker'!C:C,15,'QA Tracker'!I:I,"☐ Fail")</f>
        <v/>
      </c>
      <c r="H16">
        <f>COUNTIFS('QA Tracker'!C:C,15,'QA Tracker'!J:J,"☑ Yes")</f>
        <v/>
      </c>
      <c r="I16">
        <f>IF(D16=0,0,ROUND((E16+F16)/(D16*2)*100,0)&amp;"%")</f>
        <v/>
      </c>
    </row>
    <row r="17">
      <c r="A17" t="n">
        <v>16</v>
      </c>
      <c r="B17" t="inlineStr">
        <is>
          <t>Add Session Modal — Settings &amp; Symbols</t>
        </is>
      </c>
      <c r="C17" t="inlineStr">
        <is>
          <t>2 — Sessions</t>
        </is>
      </c>
      <c r="D17">
        <f>COUNTIFS('QA Tracker'!C:C,16)</f>
        <v/>
      </c>
      <c r="E17">
        <f>COUNTIFS('QA Tracker'!C:C,16,'QA Tracker'!H:H,"☑ Pass")</f>
        <v/>
      </c>
      <c r="F17">
        <f>COUNTIFS('QA Tracker'!C:C,16,'QA Tracker'!I:I,"☑ Pass")</f>
        <v/>
      </c>
      <c r="G17">
        <f>COUNTIFS('QA Tracker'!C:C,16,'QA Tracker'!H:H,"☐ Fail")+COUNTIFS('QA Tracker'!C:C,16,'QA Tracker'!I:I,"☐ Fail")</f>
        <v/>
      </c>
      <c r="H17">
        <f>COUNTIFS('QA Tracker'!C:C,16,'QA Tracker'!J:J,"☑ Yes")</f>
        <v/>
      </c>
      <c r="I17">
        <f>IF(D17=0,0,ROUND((E17+F17)/(D17*2)*100,0)&amp;"%")</f>
        <v/>
      </c>
    </row>
    <row r="18">
      <c r="A18" t="n">
        <v>17</v>
      </c>
      <c r="B18" t="inlineStr">
        <is>
          <t>Add Session Modal — Date Range</t>
        </is>
      </c>
      <c r="C18" t="inlineStr">
        <is>
          <t>2 — Sessions</t>
        </is>
      </c>
      <c r="D18">
        <f>COUNTIFS('QA Tracker'!C:C,17)</f>
        <v/>
      </c>
      <c r="E18">
        <f>COUNTIFS('QA Tracker'!C:C,17,'QA Tracker'!H:H,"☑ Pass")</f>
        <v/>
      </c>
      <c r="F18">
        <f>COUNTIFS('QA Tracker'!C:C,17,'QA Tracker'!I:I,"☑ Pass")</f>
        <v/>
      </c>
      <c r="G18">
        <f>COUNTIFS('QA Tracker'!C:C,17,'QA Tracker'!H:H,"☐ Fail")+COUNTIFS('QA Tracker'!C:C,17,'QA Tracker'!I:I,"☐ Fail")</f>
        <v/>
      </c>
      <c r="H18">
        <f>COUNTIFS('QA Tracker'!C:C,17,'QA Tracker'!J:J,"☑ Yes")</f>
        <v/>
      </c>
      <c r="I18">
        <f>IF(D18=0,0,ROUND((E18+F18)/(D18*2)*100,0)&amp;"%")</f>
        <v/>
      </c>
    </row>
    <row r="19">
      <c r="A19" t="n">
        <v>18</v>
      </c>
      <c r="B19" t="inlineStr">
        <is>
          <t>Add Session Modal — Account &amp; Costs</t>
        </is>
      </c>
      <c r="C19" t="inlineStr">
        <is>
          <t>2 — Sessions</t>
        </is>
      </c>
      <c r="D19">
        <f>COUNTIFS('QA Tracker'!C:C,18)</f>
        <v/>
      </c>
      <c r="E19">
        <f>COUNTIFS('QA Tracker'!C:C,18,'QA Tracker'!H:H,"☑ Pass")</f>
        <v/>
      </c>
      <c r="F19">
        <f>COUNTIFS('QA Tracker'!C:C,18,'QA Tracker'!I:I,"☑ Pass")</f>
        <v/>
      </c>
      <c r="G19">
        <f>COUNTIFS('QA Tracker'!C:C,18,'QA Tracker'!H:H,"☐ Fail")+COUNTIFS('QA Tracker'!C:C,18,'QA Tracker'!I:I,"☐ Fail")</f>
        <v/>
      </c>
      <c r="H19">
        <f>COUNTIFS('QA Tracker'!C:C,18,'QA Tracker'!J:J,"☑ Yes")</f>
        <v/>
      </c>
      <c r="I19">
        <f>IF(D19=0,0,ROUND((E19+F19)/(D19*2)*100,0)&amp;"%")</f>
        <v/>
      </c>
    </row>
    <row r="20">
      <c r="A20" t="n">
        <v>19</v>
      </c>
      <c r="B20" t="inlineStr">
        <is>
          <t>Add Session Modal — Prop Firm Rules</t>
        </is>
      </c>
      <c r="C20" t="inlineStr">
        <is>
          <t>2 — Sessions</t>
        </is>
      </c>
      <c r="D20">
        <f>COUNTIFS('QA Tracker'!C:C,19)</f>
        <v/>
      </c>
      <c r="E20">
        <f>COUNTIFS('QA Tracker'!C:C,19,'QA Tracker'!H:H,"☑ Pass")</f>
        <v/>
      </c>
      <c r="F20">
        <f>COUNTIFS('QA Tracker'!C:C,19,'QA Tracker'!I:I,"☑ Pass")</f>
        <v/>
      </c>
      <c r="G20">
        <f>COUNTIFS('QA Tracker'!C:C,19,'QA Tracker'!H:H,"☐ Fail")+COUNTIFS('QA Tracker'!C:C,19,'QA Tracker'!I:I,"☐ Fail")</f>
        <v/>
      </c>
      <c r="H20">
        <f>COUNTIFS('QA Tracker'!C:C,19,'QA Tracker'!J:J,"☑ Yes")</f>
        <v/>
      </c>
      <c r="I20">
        <f>IF(D20=0,0,ROUND((E20+F20)/(D20*2)*100,0)&amp;"%")</f>
        <v/>
      </c>
    </row>
    <row r="21">
      <c r="A21" t="n">
        <v>20</v>
      </c>
      <c r="B21" t="inlineStr">
        <is>
          <t>Add Session Modal — Save, Start &amp; Limits</t>
        </is>
      </c>
      <c r="C21" t="inlineStr">
        <is>
          <t>2 — Sessions</t>
        </is>
      </c>
      <c r="D21">
        <f>COUNTIFS('QA Tracker'!C:C,20)</f>
        <v/>
      </c>
      <c r="E21">
        <f>COUNTIFS('QA Tracker'!C:C,20,'QA Tracker'!H:H,"☑ Pass")</f>
        <v/>
      </c>
      <c r="F21">
        <f>COUNTIFS('QA Tracker'!C:C,20,'QA Tracker'!I:I,"☑ Pass")</f>
        <v/>
      </c>
      <c r="G21">
        <f>COUNTIFS('QA Tracker'!C:C,20,'QA Tracker'!H:H,"☐ Fail")+COUNTIFS('QA Tracker'!C:C,20,'QA Tracker'!I:I,"☐ Fail")</f>
        <v/>
      </c>
      <c r="H21">
        <f>COUNTIFS('QA Tracker'!C:C,20,'QA Tracker'!J:J,"☑ Yes")</f>
        <v/>
      </c>
      <c r="I21">
        <f>IF(D21=0,0,ROUND((E21+F21)/(D21*2)*100,0)&amp;"%")</f>
        <v/>
      </c>
    </row>
    <row r="22">
      <c r="A22" t="n">
        <v>21</v>
      </c>
      <c r="B22" t="inlineStr">
        <is>
          <t>Navigate to Trades Page</t>
        </is>
      </c>
      <c r="C22" t="inlineStr">
        <is>
          <t>3 — Trades</t>
        </is>
      </c>
      <c r="D22">
        <f>COUNTIFS('QA Tracker'!C:C,21)</f>
        <v/>
      </c>
      <c r="E22">
        <f>COUNTIFS('QA Tracker'!C:C,21,'QA Tracker'!H:H,"☑ Pass")</f>
        <v/>
      </c>
      <c r="F22">
        <f>COUNTIFS('QA Tracker'!C:C,21,'QA Tracker'!I:I,"☑ Pass")</f>
        <v/>
      </c>
      <c r="G22">
        <f>COUNTIFS('QA Tracker'!C:C,21,'QA Tracker'!H:H,"☐ Fail")+COUNTIFS('QA Tracker'!C:C,21,'QA Tracker'!I:I,"☐ Fail")</f>
        <v/>
      </c>
      <c r="H22">
        <f>COUNTIFS('QA Tracker'!C:C,21,'QA Tracker'!J:J,"☑ Yes")</f>
        <v/>
      </c>
      <c r="I22">
        <f>IF(D22=0,0,ROUND((E22+F22)/(D22*2)*100,0)&amp;"%")</f>
        <v/>
      </c>
    </row>
    <row r="23">
      <c r="A23" t="n">
        <v>22</v>
      </c>
      <c r="B23" t="inlineStr">
        <is>
          <t>Trades Page — Header Controls</t>
        </is>
      </c>
      <c r="C23" t="inlineStr">
        <is>
          <t>3 — Trades</t>
        </is>
      </c>
      <c r="D23">
        <f>COUNTIFS('QA Tracker'!C:C,22)</f>
        <v/>
      </c>
      <c r="E23">
        <f>COUNTIFS('QA Tracker'!C:C,22,'QA Tracker'!H:H,"☑ Pass")</f>
        <v/>
      </c>
      <c r="F23">
        <f>COUNTIFS('QA Tracker'!C:C,22,'QA Tracker'!I:I,"☑ Pass")</f>
        <v/>
      </c>
      <c r="G23">
        <f>COUNTIFS('QA Tracker'!C:C,22,'QA Tracker'!H:H,"☐ Fail")+COUNTIFS('QA Tracker'!C:C,22,'QA Tracker'!I:I,"☐ Fail")</f>
        <v/>
      </c>
      <c r="H23">
        <f>COUNTIFS('QA Tracker'!C:C,22,'QA Tracker'!J:J,"☑ Yes")</f>
        <v/>
      </c>
      <c r="I23">
        <f>IF(D23=0,0,ROUND((E23+F23)/(D23*2)*100,0)&amp;"%")</f>
        <v/>
      </c>
    </row>
    <row r="24">
      <c r="A24" t="n">
        <v>23</v>
      </c>
      <c r="B24" t="inlineStr">
        <is>
          <t>Trades Table — Columns &amp; Sorting</t>
        </is>
      </c>
      <c r="C24" t="inlineStr">
        <is>
          <t>3 — Trades</t>
        </is>
      </c>
      <c r="D24">
        <f>COUNTIFS('QA Tracker'!C:C,23)</f>
        <v/>
      </c>
      <c r="E24">
        <f>COUNTIFS('QA Tracker'!C:C,23,'QA Tracker'!H:H,"☑ Pass")</f>
        <v/>
      </c>
      <c r="F24">
        <f>COUNTIFS('QA Tracker'!C:C,23,'QA Tracker'!I:I,"☑ Pass")</f>
        <v/>
      </c>
      <c r="G24">
        <f>COUNTIFS('QA Tracker'!C:C,23,'QA Tracker'!H:H,"☐ Fail")+COUNTIFS('QA Tracker'!C:C,23,'QA Tracker'!I:I,"☐ Fail")</f>
        <v/>
      </c>
      <c r="H24">
        <f>COUNTIFS('QA Tracker'!C:C,23,'QA Tracker'!J:J,"☑ Yes")</f>
        <v/>
      </c>
      <c r="I24">
        <f>IF(D24=0,0,ROUND((E24+F24)/(D24*2)*100,0)&amp;"%")</f>
        <v/>
      </c>
    </row>
    <row r="25">
      <c r="A25" t="n">
        <v>24</v>
      </c>
      <c r="B25" t="inlineStr">
        <is>
          <t>Add Trade — Source Picker</t>
        </is>
      </c>
      <c r="C25" t="inlineStr">
        <is>
          <t>3 — Trades</t>
        </is>
      </c>
      <c r="D25">
        <f>COUNTIFS('QA Tracker'!C:C,24)</f>
        <v/>
      </c>
      <c r="E25">
        <f>COUNTIFS('QA Tracker'!C:C,24,'QA Tracker'!H:H,"☑ Pass")</f>
        <v/>
      </c>
      <c r="F25">
        <f>COUNTIFS('QA Tracker'!C:C,24,'QA Tracker'!I:I,"☑ Pass")</f>
        <v/>
      </c>
      <c r="G25">
        <f>COUNTIFS('QA Tracker'!C:C,24,'QA Tracker'!H:H,"☐ Fail")+COUNTIFS('QA Tracker'!C:C,24,'QA Tracker'!I:I,"☐ Fail")</f>
        <v/>
      </c>
      <c r="H25">
        <f>COUNTIFS('QA Tracker'!C:C,24,'QA Tracker'!J:J,"☑ Yes")</f>
        <v/>
      </c>
      <c r="I25">
        <f>IF(D25=0,0,ROUND((E25+F25)/(D25*2)*100,0)&amp;"%")</f>
        <v/>
      </c>
    </row>
    <row r="26">
      <c r="A26" t="n">
        <v>25</v>
      </c>
      <c r="B26" t="inlineStr">
        <is>
          <t>Add Trade — Trade &amp; Risk Tab</t>
        </is>
      </c>
      <c r="C26" t="inlineStr">
        <is>
          <t>3 — Trades</t>
        </is>
      </c>
      <c r="D26">
        <f>COUNTIFS('QA Tracker'!C:C,25)</f>
        <v/>
      </c>
      <c r="E26">
        <f>COUNTIFS('QA Tracker'!C:C,25,'QA Tracker'!H:H,"☑ Pass")</f>
        <v/>
      </c>
      <c r="F26">
        <f>COUNTIFS('QA Tracker'!C:C,25,'QA Tracker'!I:I,"☑ Pass")</f>
        <v/>
      </c>
      <c r="G26">
        <f>COUNTIFS('QA Tracker'!C:C,25,'QA Tracker'!H:H,"☐ Fail")+COUNTIFS('QA Tracker'!C:C,25,'QA Tracker'!I:I,"☐ Fail")</f>
        <v/>
      </c>
      <c r="H26">
        <f>COUNTIFS('QA Tracker'!C:C,25,'QA Tracker'!J:J,"☑ Yes")</f>
        <v/>
      </c>
      <c r="I26">
        <f>IF(D26=0,0,ROUND((E26+F26)/(D26*2)*100,0)&amp;"%")</f>
        <v/>
      </c>
    </row>
    <row r="27">
      <c r="A27" t="n">
        <v>26</v>
      </c>
      <c r="B27" t="inlineStr">
        <is>
          <t>Add Trade — Tags, Discipline, Notes</t>
        </is>
      </c>
      <c r="C27" t="inlineStr">
        <is>
          <t>3 — Trades</t>
        </is>
      </c>
      <c r="D27">
        <f>COUNTIFS('QA Tracker'!C:C,26)</f>
        <v/>
      </c>
      <c r="E27">
        <f>COUNTIFS('QA Tracker'!C:C,26,'QA Tracker'!H:H,"☑ Pass")</f>
        <v/>
      </c>
      <c r="F27">
        <f>COUNTIFS('QA Tracker'!C:C,26,'QA Tracker'!I:I,"☑ Pass")</f>
        <v/>
      </c>
      <c r="G27">
        <f>COUNTIFS('QA Tracker'!C:C,26,'QA Tracker'!H:H,"☐ Fail")+COUNTIFS('QA Tracker'!C:C,26,'QA Tracker'!I:I,"☐ Fail")</f>
        <v/>
      </c>
      <c r="H27">
        <f>COUNTIFS('QA Tracker'!C:C,26,'QA Tracker'!J:J,"☑ Yes")</f>
        <v/>
      </c>
      <c r="I27">
        <f>IF(D27=0,0,ROUND((E27+F27)/(D27*2)*100,0)&amp;"%")</f>
        <v/>
      </c>
    </row>
    <row r="28">
      <c r="A28" t="n">
        <v>27</v>
      </c>
      <c r="B28" t="inlineStr">
        <is>
          <t>Add Trade — Save &amp; Edit</t>
        </is>
      </c>
      <c r="C28" t="inlineStr">
        <is>
          <t>3 — Trades</t>
        </is>
      </c>
      <c r="D28">
        <f>COUNTIFS('QA Tracker'!C:C,27)</f>
        <v/>
      </c>
      <c r="E28">
        <f>COUNTIFS('QA Tracker'!C:C,27,'QA Tracker'!H:H,"☑ Pass")</f>
        <v/>
      </c>
      <c r="F28">
        <f>COUNTIFS('QA Tracker'!C:C,27,'QA Tracker'!I:I,"☑ Pass")</f>
        <v/>
      </c>
      <c r="G28">
        <f>COUNTIFS('QA Tracker'!C:C,27,'QA Tracker'!H:H,"☐ Fail")+COUNTIFS('QA Tracker'!C:C,27,'QA Tracker'!I:I,"☐ Fail")</f>
        <v/>
      </c>
      <c r="H28">
        <f>COUNTIFS('QA Tracker'!C:C,27,'QA Tracker'!J:J,"☑ Yes")</f>
        <v/>
      </c>
      <c r="I28">
        <f>IF(D28=0,0,ROUND((E28+F28)/(D28*2)*100,0)&amp;"%")</f>
        <v/>
      </c>
    </row>
    <row r="29">
      <c r="A29" t="n">
        <v>28</v>
      </c>
      <c r="B29" t="inlineStr">
        <is>
          <t>Add Trade — Validation (test each error)</t>
        </is>
      </c>
      <c r="C29" t="inlineStr">
        <is>
          <t>3 — Trades</t>
        </is>
      </c>
      <c r="D29">
        <f>COUNTIFS('QA Tracker'!C:C,28)</f>
        <v/>
      </c>
      <c r="E29">
        <f>COUNTIFS('QA Tracker'!C:C,28,'QA Tracker'!H:H,"☑ Pass")</f>
        <v/>
      </c>
      <c r="F29">
        <f>COUNTIFS('QA Tracker'!C:C,28,'QA Tracker'!I:I,"☑ Pass")</f>
        <v/>
      </c>
      <c r="G29">
        <f>COUNTIFS('QA Tracker'!C:C,28,'QA Tracker'!H:H,"☐ Fail")+COUNTIFS('QA Tracker'!C:C,28,'QA Tracker'!I:I,"☐ Fail")</f>
        <v/>
      </c>
      <c r="H29">
        <f>COUNTIFS('QA Tracker'!C:C,28,'QA Tracker'!J:J,"☑ Yes")</f>
        <v/>
      </c>
      <c r="I29">
        <f>IF(D29=0,0,ROUND((E29+F29)/(D29*2)*100,0)&amp;"%")</f>
        <v/>
      </c>
    </row>
    <row r="30">
      <c r="A30" t="n">
        <v>29</v>
      </c>
      <c r="B30" t="inlineStr">
        <is>
          <t>Open Sources Library</t>
        </is>
      </c>
      <c r="C30" t="inlineStr">
        <is>
          <t>4 — Sources</t>
        </is>
      </c>
      <c r="D30">
        <f>COUNTIFS('QA Tracker'!C:C,29)</f>
        <v/>
      </c>
      <c r="E30">
        <f>COUNTIFS('QA Tracker'!C:C,29,'QA Tracker'!H:H,"☑ Pass")</f>
        <v/>
      </c>
      <c r="F30">
        <f>COUNTIFS('QA Tracker'!C:C,29,'QA Tracker'!I:I,"☑ Pass")</f>
        <v/>
      </c>
      <c r="G30">
        <f>COUNTIFS('QA Tracker'!C:C,29,'QA Tracker'!H:H,"☐ Fail")+COUNTIFS('QA Tracker'!C:C,29,'QA Tracker'!I:I,"☐ Fail")</f>
        <v/>
      </c>
      <c r="H30">
        <f>COUNTIFS('QA Tracker'!C:C,29,'QA Tracker'!J:J,"☑ Yes")</f>
        <v/>
      </c>
      <c r="I30">
        <f>IF(D30=0,0,ROUND((E30+F30)/(D30*2)*100,0)&amp;"%")</f>
        <v/>
      </c>
    </row>
    <row r="31">
      <c r="A31" t="n">
        <v>30</v>
      </c>
      <c r="B31" t="inlineStr">
        <is>
          <t>Sources — Tree &amp; Category Filters</t>
        </is>
      </c>
      <c r="C31" t="inlineStr">
        <is>
          <t>4 — Sources</t>
        </is>
      </c>
      <c r="D31">
        <f>COUNTIFS('QA Tracker'!C:C,30)</f>
        <v/>
      </c>
      <c r="E31">
        <f>COUNTIFS('QA Tracker'!C:C,30,'QA Tracker'!H:H,"☑ Pass")</f>
        <v/>
      </c>
      <c r="F31">
        <f>COUNTIFS('QA Tracker'!C:C,30,'QA Tracker'!I:I,"☑ Pass")</f>
        <v/>
      </c>
      <c r="G31">
        <f>COUNTIFS('QA Tracker'!C:C,30,'QA Tracker'!H:H,"☐ Fail")+COUNTIFS('QA Tracker'!C:C,30,'QA Tracker'!I:I,"☐ Fail")</f>
        <v/>
      </c>
      <c r="H31">
        <f>COUNTIFS('QA Tracker'!C:C,30,'QA Tracker'!J:J,"☑ Yes")</f>
        <v/>
      </c>
      <c r="I31">
        <f>IF(D31=0,0,ROUND((E31+F31)/(D31*2)*100,0)&amp;"%")</f>
        <v/>
      </c>
    </row>
    <row r="32">
      <c r="A32" t="n">
        <v>31</v>
      </c>
      <c r="B32" t="inlineStr">
        <is>
          <t>Sources — List, Selection &amp; Footer</t>
        </is>
      </c>
      <c r="C32" t="inlineStr">
        <is>
          <t>4 — Sources</t>
        </is>
      </c>
      <c r="D32">
        <f>COUNTIFS('QA Tracker'!C:C,31)</f>
        <v/>
      </c>
      <c r="E32">
        <f>COUNTIFS('QA Tracker'!C:C,31,'QA Tracker'!H:H,"☑ Pass")</f>
        <v/>
      </c>
      <c r="F32">
        <f>COUNTIFS('QA Tracker'!C:C,31,'QA Tracker'!I:I,"☑ Pass")</f>
        <v/>
      </c>
      <c r="G32">
        <f>COUNTIFS('QA Tracker'!C:C,31,'QA Tracker'!H:H,"☐ Fail")+COUNTIFS('QA Tracker'!C:C,31,'QA Tracker'!I:I,"☐ Fail")</f>
        <v/>
      </c>
      <c r="H32">
        <f>COUNTIFS('QA Tracker'!C:C,31,'QA Tracker'!J:J,"☑ Yes")</f>
        <v/>
      </c>
      <c r="I32">
        <f>IF(D32=0,0,ROUND((E32+F32)/(D32*2)*100,0)&amp;"%")</f>
        <v/>
      </c>
    </row>
    <row r="33">
      <c r="A33" t="n">
        <v>32</v>
      </c>
      <c r="B33" t="inlineStr">
        <is>
          <t>Sources — Go Behavior by Type</t>
        </is>
      </c>
      <c r="C33" t="inlineStr">
        <is>
          <t>4 — Sources</t>
        </is>
      </c>
      <c r="D33">
        <f>COUNTIFS('QA Tracker'!C:C,32)</f>
        <v/>
      </c>
      <c r="E33">
        <f>COUNTIFS('QA Tracker'!C:C,32,'QA Tracker'!H:H,"☑ Pass")</f>
        <v/>
      </c>
      <c r="F33">
        <f>COUNTIFS('QA Tracker'!C:C,32,'QA Tracker'!I:I,"☑ Pass")</f>
        <v/>
      </c>
      <c r="G33">
        <f>COUNTIFS('QA Tracker'!C:C,32,'QA Tracker'!H:H,"☐ Fail")+COUNTIFS('QA Tracker'!C:C,32,'QA Tracker'!I:I,"☐ Fail")</f>
        <v/>
      </c>
      <c r="H33">
        <f>COUNTIFS('QA Tracker'!C:C,32,'QA Tracker'!J:J,"☑ Yes")</f>
        <v/>
      </c>
      <c r="I33">
        <f>IF(D33=0,0,ROUND((E33+F33)/(D33*2)*100,0)&amp;"%")</f>
        <v/>
      </c>
    </row>
    <row r="34">
      <c r="A34" t="n">
        <v>33</v>
      </c>
      <c r="B34" t="inlineStr">
        <is>
          <t>Sources — Header Actions</t>
        </is>
      </c>
      <c r="C34" t="inlineStr">
        <is>
          <t>4 — Sources</t>
        </is>
      </c>
      <c r="D34">
        <f>COUNTIFS('QA Tracker'!C:C,33)</f>
        <v/>
      </c>
      <c r="E34">
        <f>COUNTIFS('QA Tracker'!C:C,33,'QA Tracker'!H:H,"☑ Pass")</f>
        <v/>
      </c>
      <c r="F34">
        <f>COUNTIFS('QA Tracker'!C:C,33,'QA Tracker'!I:I,"☑ Pass")</f>
        <v/>
      </c>
      <c r="G34">
        <f>COUNTIFS('QA Tracker'!C:C,33,'QA Tracker'!H:H,"☐ Fail")+COUNTIFS('QA Tracker'!C:C,33,'QA Tracker'!I:I,"☐ Fail")</f>
        <v/>
      </c>
      <c r="H34">
        <f>COUNTIFS('QA Tracker'!C:C,33,'QA Tracker'!J:J,"☑ Yes")</f>
        <v/>
      </c>
      <c r="I34">
        <f>IF(D34=0,0,ROUND((E34+F34)/(D34*2)*100,0)&amp;"%")</f>
        <v/>
      </c>
    </row>
    <row r="35">
      <c r="A35" t="n">
        <v>34</v>
      </c>
      <c r="B35" t="inlineStr">
        <is>
          <t>Applied Source Details (Dashboard Banner)</t>
        </is>
      </c>
      <c r="C35" t="inlineStr">
        <is>
          <t>4 — Sources</t>
        </is>
      </c>
      <c r="D35">
        <f>COUNTIFS('QA Tracker'!C:C,34)</f>
        <v/>
      </c>
      <c r="E35">
        <f>COUNTIFS('QA Tracker'!C:C,34,'QA Tracker'!H:H,"☑ Pass")</f>
        <v/>
      </c>
      <c r="F35">
        <f>COUNTIFS('QA Tracker'!C:C,34,'QA Tracker'!I:I,"☑ Pass")</f>
        <v/>
      </c>
      <c r="G35">
        <f>COUNTIFS('QA Tracker'!C:C,34,'QA Tracker'!H:H,"☐ Fail")+COUNTIFS('QA Tracker'!C:C,34,'QA Tracker'!I:I,"☐ Fail")</f>
        <v/>
      </c>
      <c r="H35">
        <f>COUNTIFS('QA Tracker'!C:C,34,'QA Tracker'!J:J,"☑ Yes")</f>
        <v/>
      </c>
      <c r="I35">
        <f>IF(D35=0,0,ROUND((E35+F35)/(D35*2)*100,0)&amp;"%")</f>
        <v/>
      </c>
    </row>
    <row r="36">
      <c r="A36" t="n">
        <v>35</v>
      </c>
      <c r="B36" t="inlineStr">
        <is>
          <t>Compare Sources Mode</t>
        </is>
      </c>
      <c r="C36" t="inlineStr">
        <is>
          <t>4 — Sources</t>
        </is>
      </c>
      <c r="D36">
        <f>COUNTIFS('QA Tracker'!C:C,35)</f>
        <v/>
      </c>
      <c r="E36">
        <f>COUNTIFS('QA Tracker'!C:C,35,'QA Tracker'!H:H,"☑ Pass")</f>
        <v/>
      </c>
      <c r="F36">
        <f>COUNTIFS('QA Tracker'!C:C,35,'QA Tracker'!I:I,"☑ Pass")</f>
        <v/>
      </c>
      <c r="G36">
        <f>COUNTIFS('QA Tracker'!C:C,35,'QA Tracker'!H:H,"☐ Fail")+COUNTIFS('QA Tracker'!C:C,35,'QA Tracker'!I:I,"☐ Fail")</f>
        <v/>
      </c>
      <c r="H36">
        <f>COUNTIFS('QA Tracker'!C:C,35,'QA Tracker'!J:J,"☑ Yes")</f>
        <v/>
      </c>
      <c r="I36">
        <f>IF(D36=0,0,ROUND((E36+F36)/(D36*2)*100,0)&amp;"%")</f>
        <v/>
      </c>
    </row>
    <row r="37">
      <c r="B37" s="4" t="inlineStr">
        <is>
          <t>TOTAL</t>
        </is>
      </c>
      <c r="D37">
        <f>SUM(D2:D36)</f>
        <v/>
      </c>
      <c r="E37">
        <f>SUM(E2:E36)</f>
        <v/>
      </c>
      <c r="F37">
        <f>SUM(F2:F36)</f>
        <v/>
      </c>
      <c r="G37">
        <f>SUM(G2:G36)</f>
        <v/>
      </c>
      <c r="H37">
        <f>SUM(H2:H36)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" customWidth="1" min="3" max="3"/>
    <col width="28" customWidth="1" min="4" max="4"/>
    <col width="8" customWidth="1" min="5" max="5"/>
    <col width="52" customWidth="1" min="6" max="6"/>
    <col width="40" customWidth="1" min="7" max="7"/>
    <col width="14" customWidth="1" min="8" max="8"/>
    <col width="14" customWidth="1" min="9" max="9"/>
    <col width="10" customWidth="1" min="10" max="10"/>
    <col width="36" customWidth="1" min="11" max="11"/>
    <col width="12" customWidth="1" min="12" max="12"/>
  </cols>
  <sheetData>
    <row r="1">
      <c r="A1" s="11" t="inlineStr">
        <is>
          <t>Step #</t>
        </is>
      </c>
      <c r="B1" s="11" t="inlineStr">
        <is>
          <t>Section</t>
        </is>
      </c>
      <c r="C1" s="11" t="inlineStr">
        <is>
          <t>Phase</t>
        </is>
      </c>
      <c r="D1" s="11" t="inlineStr">
        <is>
          <t>Phase Name</t>
        </is>
      </c>
      <c r="E1" s="11" t="inlineStr">
        <is>
          <t>Priority</t>
        </is>
      </c>
      <c r="F1" s="11" t="inlineStr">
        <is>
          <t>What to Do</t>
        </is>
      </c>
      <c r="G1" s="11" t="inlineStr">
        <is>
          <t>Expected Result</t>
        </is>
      </c>
      <c r="H1" s="11" t="inlineStr">
        <is>
          <t>Tester A</t>
        </is>
      </c>
      <c r="I1" s="11" t="inlineStr">
        <is>
          <t>Tester B</t>
        </is>
      </c>
      <c r="J1" s="11" t="inlineStr">
        <is>
          <t>Issue?</t>
        </is>
      </c>
      <c r="K1" s="11" t="inlineStr">
        <is>
          <t>Comments</t>
        </is>
      </c>
      <c r="L1" s="11" t="inlineStr">
        <is>
          <t>Date</t>
        </is>
      </c>
    </row>
    <row r="2">
      <c r="A2" t="n">
        <v>1</v>
      </c>
      <c r="B2" t="inlineStr">
        <is>
          <t>1 — Strategies</t>
        </is>
      </c>
      <c r="C2" t="n">
        <v>1</v>
      </c>
      <c r="D2" t="inlineStr">
        <is>
          <t>Navigate to Strategy Bank</t>
        </is>
      </c>
      <c r="E2" t="inlineStr">
        <is>
          <t>P0</t>
        </is>
      </c>
      <c r="F2" t="inlineStr">
        <is>
          <t>Log in and open the dashboard at /dashboard/.</t>
        </is>
      </c>
      <c r="G2" t="inlineStr">
        <is>
          <t>Dashboard loads without errors.</t>
        </is>
      </c>
      <c r="H2" t="inlineStr">
        <is>
          <t>— Not tested</t>
        </is>
      </c>
      <c r="I2" t="inlineStr">
        <is>
          <t>— Not tested</t>
        </is>
      </c>
      <c r="J2" t="inlineStr">
        <is>
          <t>— Not tested</t>
        </is>
      </c>
    </row>
    <row r="3">
      <c r="A3" t="n">
        <v>2</v>
      </c>
      <c r="B3" t="inlineStr">
        <is>
          <t>1 — Strategies</t>
        </is>
      </c>
      <c r="C3" t="n">
        <v>1</v>
      </c>
      <c r="D3" t="inlineStr">
        <is>
          <t>Navigate to Strategy Bank</t>
        </is>
      </c>
      <c r="E3" t="inlineStr">
        <is>
          <t>P0</t>
        </is>
      </c>
      <c r="F3" t="inlineStr">
        <is>
          <t>Click **Strategies** in the left navigation panel.</t>
        </is>
      </c>
      <c r="G3" t="inlineStr">
        <is>
          <t>Strategy Bank page opens; title shows “Strategy Bank”.</t>
        </is>
      </c>
      <c r="H3" t="inlineStr">
        <is>
          <t>— Not tested</t>
        </is>
      </c>
      <c r="I3" t="inlineStr">
        <is>
          <t>— Not tested</t>
        </is>
      </c>
      <c r="J3" t="inlineStr">
        <is>
          <t>— Not tested</t>
        </is>
      </c>
    </row>
    <row r="4">
      <c r="A4" t="n">
        <v>3</v>
      </c>
      <c r="B4" t="inlineStr">
        <is>
          <t>1 — Strategies</t>
        </is>
      </c>
      <c r="C4" t="n">
        <v>1</v>
      </c>
      <c r="D4" t="inlineStr">
        <is>
          <t>Navigate to Strategy Bank</t>
        </is>
      </c>
      <c r="E4" t="inlineStr">
        <is>
          <t>P2</t>
        </is>
      </c>
      <c r="F4" t="inlineStr">
        <is>
          <t>Confirm URL contains view=stratbank (or /dashboard/strategies redirects).</t>
        </is>
      </c>
      <c r="G4" t="inlineStr">
        <is>
          <t>Correct strategies view is active.</t>
        </is>
      </c>
      <c r="H4" t="inlineStr">
        <is>
          <t>— Not tested</t>
        </is>
      </c>
      <c r="I4" t="inlineStr">
        <is>
          <t>— Not tested</t>
        </is>
      </c>
      <c r="J4" t="inlineStr">
        <is>
          <t>— Not tested</t>
        </is>
      </c>
    </row>
    <row r="5">
      <c r="A5" t="n">
        <v>4</v>
      </c>
      <c r="B5" t="inlineStr">
        <is>
          <t>1 — Strategies</t>
        </is>
      </c>
      <c r="C5" t="n">
        <v>1</v>
      </c>
      <c r="D5" t="inlineStr">
        <is>
          <t>Navigate to Strategy Bank</t>
        </is>
      </c>
      <c r="E5" t="inlineStr">
        <is>
          <t>P2</t>
        </is>
      </c>
      <c r="F5" t="inlineStr">
        <is>
          <t>Verify left nav highlights Strategies while on this page.</t>
        </is>
      </c>
      <c r="G5" t="inlineStr">
        <is>
          <t>Strategies nav item is visually active.</t>
        </is>
      </c>
      <c r="H5" t="inlineStr">
        <is>
          <t>— Not tested</t>
        </is>
      </c>
      <c r="I5" t="inlineStr">
        <is>
          <t>— Not tested</t>
        </is>
      </c>
      <c r="J5" t="inlineStr">
        <is>
          <t>— Not tested</t>
        </is>
      </c>
    </row>
    <row r="6">
      <c r="A6" t="n">
        <v>5</v>
      </c>
      <c r="B6" t="inlineStr">
        <is>
          <t>1 — Strategies</t>
        </is>
      </c>
      <c r="C6" t="n">
        <v>1</v>
      </c>
      <c r="D6" t="inlineStr">
        <is>
          <t>Navigate to Strategy Bank</t>
        </is>
      </c>
      <c r="E6" t="inlineStr">
        <is>
          <t>P1</t>
        </is>
      </c>
      <c r="F6" t="inlineStr">
        <is>
          <t>Click each other nav item (Dashboard, Trades, Backtest) then return to Strategies.</t>
        </is>
      </c>
      <c r="G6" t="inlineStr">
        <is>
          <t>Navigation works both ways.</t>
        </is>
      </c>
      <c r="H6" t="inlineStr">
        <is>
          <t>— Not tested</t>
        </is>
      </c>
      <c r="I6" t="inlineStr">
        <is>
          <t>— Not tested</t>
        </is>
      </c>
      <c r="J6" t="inlineStr">
        <is>
          <t>— Not tested</t>
        </is>
      </c>
    </row>
    <row r="7">
      <c r="A7" t="n">
        <v>6</v>
      </c>
      <c r="B7" t="inlineStr">
        <is>
          <t>1 — Strategies</t>
        </is>
      </c>
      <c r="C7" t="n">
        <v>2</v>
      </c>
      <c r="D7" t="inlineStr">
        <is>
          <t>Strategy Bank — Page Controls</t>
        </is>
      </c>
      <c r="E7" t="inlineStr">
        <is>
          <t>P0</t>
        </is>
      </c>
      <c r="F7" t="inlineStr">
        <is>
          <t>Locate the **Build Strategy** button in the page header.</t>
        </is>
      </c>
      <c r="G7" t="inlineStr">
        <is>
          <t>Button is visible and clickable.</t>
        </is>
      </c>
      <c r="H7" t="inlineStr">
        <is>
          <t>— Not tested</t>
        </is>
      </c>
      <c r="I7" t="inlineStr">
        <is>
          <t>— Not tested</t>
        </is>
      </c>
      <c r="J7" t="inlineStr">
        <is>
          <t>— Not tested</t>
        </is>
      </c>
    </row>
    <row r="8">
      <c r="A8" t="n">
        <v>7</v>
      </c>
      <c r="B8" t="inlineStr">
        <is>
          <t>1 — Strategies</t>
        </is>
      </c>
      <c r="C8" t="n">
        <v>2</v>
      </c>
      <c r="D8" t="inlineStr">
        <is>
          <t>Strategy Bank — Page Controls</t>
        </is>
      </c>
      <c r="E8" t="inlineStr">
        <is>
          <t>P1</t>
        </is>
      </c>
      <c r="F8" t="inlineStr">
        <is>
          <t>Confirm tabs: **My Strategies** (active) and **Community** (grayed/disabled).</t>
        </is>
      </c>
      <c r="G8" t="inlineStr">
        <is>
          <t>Community tab cannot be used or is clearly disabled.</t>
        </is>
      </c>
      <c r="H8" t="inlineStr">
        <is>
          <t>— Not tested</t>
        </is>
      </c>
      <c r="I8" t="inlineStr">
        <is>
          <t>— Not tested</t>
        </is>
      </c>
      <c r="J8" t="inlineStr">
        <is>
          <t>— Not tested</t>
        </is>
      </c>
    </row>
    <row r="9">
      <c r="A9" t="n">
        <v>8</v>
      </c>
      <c r="B9" t="inlineStr">
        <is>
          <t>1 — Strategies</t>
        </is>
      </c>
      <c r="C9" t="n">
        <v>2</v>
      </c>
      <c r="D9" t="inlineStr">
        <is>
          <t>Strategy Bank — Page Controls</t>
        </is>
      </c>
      <c r="E9" t="inlineStr">
        <is>
          <t>P2</t>
        </is>
      </c>
      <c r="F9" t="inlineStr">
        <is>
          <t>Try clicking the Community tab.</t>
        </is>
      </c>
      <c r="G9" t="inlineStr">
        <is>
          <t>Tab does not switch or shows disabled state.</t>
        </is>
      </c>
      <c r="H9" t="inlineStr">
        <is>
          <t>— Not tested</t>
        </is>
      </c>
      <c r="I9" t="inlineStr">
        <is>
          <t>— Not tested</t>
        </is>
      </c>
      <c r="J9" t="inlineStr">
        <is>
          <t>— Not tested</t>
        </is>
      </c>
    </row>
    <row r="10">
      <c r="A10" t="n">
        <v>9</v>
      </c>
      <c r="B10" t="inlineStr">
        <is>
          <t>1 — Strategies</t>
        </is>
      </c>
      <c r="C10" t="n">
        <v>2</v>
      </c>
      <c r="D10" t="inlineStr">
        <is>
          <t>Strategy Bank — Page Controls</t>
        </is>
      </c>
      <c r="E10" t="inlineStr">
        <is>
          <t>P1</t>
        </is>
      </c>
      <c r="F10" t="inlineStr">
        <is>
          <t>Toggle layout view: **Cards** vs **Rows**.</t>
        </is>
      </c>
      <c r="G10" t="inlineStr">
        <is>
          <t>Strategy list switches layout; all cards/rows still readable.</t>
        </is>
      </c>
      <c r="H10" t="inlineStr">
        <is>
          <t>— Not tested</t>
        </is>
      </c>
      <c r="I10" t="inlineStr">
        <is>
          <t>— Not tested</t>
        </is>
      </c>
      <c r="J10" t="inlineStr">
        <is>
          <t>— Not tested</t>
        </is>
      </c>
    </row>
    <row r="11">
      <c r="A11" t="n">
        <v>10</v>
      </c>
      <c r="B11" t="inlineStr">
        <is>
          <t>1 — Strategies</t>
        </is>
      </c>
      <c r="C11" t="n">
        <v>2</v>
      </c>
      <c r="D11" t="inlineStr">
        <is>
          <t>Strategy Bank — Page Controls</t>
        </is>
      </c>
      <c r="E11" t="inlineStr">
        <is>
          <t>P1</t>
        </is>
      </c>
      <c r="F11" t="inlineStr">
        <is>
          <t>Type in the **search** box (e.g. part of a strategy name).</t>
        </is>
      </c>
      <c r="G11" t="inlineStr">
        <is>
          <t>List filters to matching strategies only.</t>
        </is>
      </c>
      <c r="H11" t="inlineStr">
        <is>
          <t>— Not tested</t>
        </is>
      </c>
      <c r="I11" t="inlineStr">
        <is>
          <t>— Not tested</t>
        </is>
      </c>
      <c r="J11" t="inlineStr">
        <is>
          <t>— Not tested</t>
        </is>
      </c>
    </row>
    <row r="12">
      <c r="A12" t="n">
        <v>11</v>
      </c>
      <c r="B12" t="inlineStr">
        <is>
          <t>1 — Strategies</t>
        </is>
      </c>
      <c r="C12" t="n">
        <v>2</v>
      </c>
      <c r="D12" t="inlineStr">
        <is>
          <t>Strategy Bank — Page Controls</t>
        </is>
      </c>
      <c r="E12" t="inlineStr">
        <is>
          <t>P1</t>
        </is>
      </c>
      <c r="F12" t="inlineStr">
        <is>
          <t>Clear search using the × button or delete all text.</t>
        </is>
      </c>
      <c r="G12" t="inlineStr">
        <is>
          <t>Full list returns.</t>
        </is>
      </c>
      <c r="H12" t="inlineStr">
        <is>
          <t>— Not tested</t>
        </is>
      </c>
      <c r="I12" t="inlineStr">
        <is>
          <t>— Not tested</t>
        </is>
      </c>
      <c r="J12" t="inlineStr">
        <is>
          <t>— Not tested</t>
        </is>
      </c>
    </row>
    <row r="13">
      <c r="A13" t="n">
        <v>12</v>
      </c>
      <c r="B13" t="inlineStr">
        <is>
          <t>1 — Strategies</t>
        </is>
      </c>
      <c r="C13" t="n">
        <v>2</v>
      </c>
      <c r="D13" t="inlineStr">
        <is>
          <t>Strategy Bank — Page Controls</t>
        </is>
      </c>
      <c r="E13" t="inlineStr">
        <is>
          <t>P2</t>
        </is>
      </c>
      <c r="F13" t="inlineStr">
        <is>
          <t>With no strategies (or cleared search), check empty state message.</t>
        </is>
      </c>
      <c r="G13" t="inlineStr">
        <is>
          <t>Empty state shows with CTA to Build Strategy.</t>
        </is>
      </c>
      <c r="H13" t="inlineStr">
        <is>
          <t>— Not tested</t>
        </is>
      </c>
      <c r="I13" t="inlineStr">
        <is>
          <t>— Not tested</t>
        </is>
      </c>
      <c r="J13" t="inlineStr">
        <is>
          <t>— Not tested</t>
        </is>
      </c>
    </row>
    <row r="14">
      <c r="A14" t="n">
        <v>13</v>
      </c>
      <c r="B14" t="inlineStr">
        <is>
          <t>1 — Strategies</t>
        </is>
      </c>
      <c r="C14" t="n">
        <v>2</v>
      </c>
      <c r="D14" t="inlineStr">
        <is>
          <t>Strategy Bank — Page Controls</t>
        </is>
      </c>
      <c r="E14" t="inlineStr">
        <is>
          <t>P2</t>
        </is>
      </c>
      <c r="F14" t="inlineStr">
        <is>
          <t>Search for text that matches no strategy.</t>
        </is>
      </c>
      <c r="G14" t="inlineStr">
        <is>
          <t>“No results” or equivalent message appears.</t>
        </is>
      </c>
      <c r="H14" t="inlineStr">
        <is>
          <t>— Not tested</t>
        </is>
      </c>
      <c r="I14" t="inlineStr">
        <is>
          <t>— Not tested</t>
        </is>
      </c>
      <c r="J14" t="inlineStr">
        <is>
          <t>— Not tested</t>
        </is>
      </c>
    </row>
    <row r="15">
      <c r="A15" t="n">
        <v>14</v>
      </c>
      <c r="B15" t="inlineStr">
        <is>
          <t>1 — Strategies</t>
        </is>
      </c>
      <c r="C15" t="n">
        <v>3</v>
      </c>
      <c r="D15" t="inlineStr">
        <is>
          <t>Strategy Bank — Cards, Rows &amp; Actions</t>
        </is>
      </c>
      <c r="E15" t="inlineStr">
        <is>
          <t>P1</t>
        </is>
      </c>
      <c r="F15" t="inlineStr">
        <is>
          <t>In **Cards** view: verify each card shows name, description, markets, timeframes, tags.</t>
        </is>
      </c>
      <c r="G15" t="inlineStr">
        <is>
          <t>All fields render without truncation bugs.</t>
        </is>
      </c>
      <c r="H15" t="inlineStr">
        <is>
          <t>— Not tested</t>
        </is>
      </c>
      <c r="I15" t="inlineStr">
        <is>
          <t>— Not tested</t>
        </is>
      </c>
      <c r="J15" t="inlineStr">
        <is>
          <t>— Not tested</t>
        </is>
      </c>
    </row>
    <row r="16">
      <c r="A16" t="n">
        <v>15</v>
      </c>
      <c r="B16" t="inlineStr">
        <is>
          <t>1 — Strategies</t>
        </is>
      </c>
      <c r="C16" t="n">
        <v>3</v>
      </c>
      <c r="D16" t="inlineStr">
        <is>
          <t>Strategy Bank — Cards, Rows &amp; Actions</t>
        </is>
      </c>
      <c r="E16" t="inlineStr">
        <is>
          <t>P1</t>
        </is>
      </c>
      <c r="F16" t="inlineStr">
        <is>
          <t>Verify backtest stats on card: sessions count, P&amp;L, win rate (or — if none).</t>
        </is>
      </c>
      <c r="G16" t="inlineStr">
        <is>
          <t>Stats match linked sessions or show placeholders.</t>
        </is>
      </c>
      <c r="H16" t="inlineStr">
        <is>
          <t>— Not tested</t>
        </is>
      </c>
      <c r="I16" t="inlineStr">
        <is>
          <t>— Not tested</t>
        </is>
      </c>
      <c r="J16" t="inlineStr">
        <is>
          <t>— Not tested</t>
        </is>
      </c>
    </row>
    <row r="17">
      <c r="A17" t="n">
        <v>16</v>
      </c>
      <c r="B17" t="inlineStr">
        <is>
          <t>1 — Strategies</t>
        </is>
      </c>
      <c r="C17" t="n">
        <v>3</v>
      </c>
      <c r="D17" t="inlineStr">
        <is>
          <t>Strategy Bank — Cards, Rows &amp; Actions</t>
        </is>
      </c>
      <c r="E17" t="inlineStr">
        <is>
          <t>P2</t>
        </is>
      </c>
      <c r="F17" t="inlineStr">
        <is>
          <t>Hover a strategy card.</t>
        </is>
      </c>
      <c r="G17" t="inlineStr">
        <is>
          <t>Card highlights on hover.</t>
        </is>
      </c>
      <c r="H17" t="inlineStr">
        <is>
          <t>— Not tested</t>
        </is>
      </c>
      <c r="I17" t="inlineStr">
        <is>
          <t>— Not tested</t>
        </is>
      </c>
      <c r="J17" t="inlineStr">
        <is>
          <t>— Not tested</t>
        </is>
      </c>
    </row>
    <row r="18">
      <c r="A18" t="n">
        <v>17</v>
      </c>
      <c r="B18" t="inlineStr">
        <is>
          <t>1 — Strategies</t>
        </is>
      </c>
      <c r="C18" t="n">
        <v>3</v>
      </c>
      <c r="D18" t="inlineStr">
        <is>
          <t>Strategy Bank — Cards, Rows &amp; Actions</t>
        </is>
      </c>
      <c r="E18" t="inlineStr">
        <is>
          <t>P0</t>
        </is>
      </c>
      <c r="F18" t="inlineStr">
        <is>
          <t>**Double-click** your own strategy card.</t>
        </is>
      </c>
      <c r="G18" t="inlineStr">
        <is>
          <t>Strategy Builder opens in **Edit** mode with saved data.</t>
        </is>
      </c>
      <c r="H18" t="inlineStr">
        <is>
          <t>— Not tested</t>
        </is>
      </c>
      <c r="I18" t="inlineStr">
        <is>
          <t>— Not tested</t>
        </is>
      </c>
      <c r="J18" t="inlineStr">
        <is>
          <t>— Not tested</t>
        </is>
      </c>
    </row>
    <row r="19">
      <c r="A19" t="n">
        <v>18</v>
      </c>
      <c r="B19" t="inlineStr">
        <is>
          <t>1 — Strategies</t>
        </is>
      </c>
      <c r="C19" t="n">
        <v>3</v>
      </c>
      <c r="D19" t="inlineStr">
        <is>
          <t>Strategy Bank — Cards, Rows &amp; Actions</t>
        </is>
      </c>
      <c r="E19" t="inlineStr">
        <is>
          <t>P0</t>
        </is>
      </c>
      <c r="F19" t="inlineStr">
        <is>
          <t>Click the **⋯** menu on a strategy card.</t>
        </is>
      </c>
      <c r="G19" t="inlineStr">
        <is>
          <t>Menu opens: New Session, Dashboard, Edit, Copy, Delete (as applicable).</t>
        </is>
      </c>
      <c r="H19" t="inlineStr">
        <is>
          <t>— Not tested</t>
        </is>
      </c>
      <c r="I19" t="inlineStr">
        <is>
          <t>— Not tested</t>
        </is>
      </c>
      <c r="J19" t="inlineStr">
        <is>
          <t>— Not tested</t>
        </is>
      </c>
    </row>
    <row r="20">
      <c r="A20" t="n">
        <v>19</v>
      </c>
      <c r="B20" t="inlineStr">
        <is>
          <t>1 — Strategies</t>
        </is>
      </c>
      <c r="C20" t="n">
        <v>3</v>
      </c>
      <c r="D20" t="inlineStr">
        <is>
          <t>Strategy Bank — Cards, Rows &amp; Actions</t>
        </is>
      </c>
      <c r="E20" t="inlineStr">
        <is>
          <t>P0</t>
        </is>
      </c>
      <c r="F20" t="inlineStr">
        <is>
          <t>From ⋯ menu choose **New Session**.</t>
        </is>
      </c>
      <c r="G20" t="inlineStr">
        <is>
          <t>Add Session window opens with strategy name/description pre-filled.</t>
        </is>
      </c>
      <c r="H20" t="inlineStr">
        <is>
          <t>— Not tested</t>
        </is>
      </c>
      <c r="I20" t="inlineStr">
        <is>
          <t>— Not tested</t>
        </is>
      </c>
      <c r="J20" t="inlineStr">
        <is>
          <t>— Not tested</t>
        </is>
      </c>
    </row>
    <row r="21">
      <c r="A21" t="n">
        <v>20</v>
      </c>
      <c r="B21" t="inlineStr">
        <is>
          <t>1 — Strategies</t>
        </is>
      </c>
      <c r="C21" t="n">
        <v>3</v>
      </c>
      <c r="D21" t="inlineStr">
        <is>
          <t>Strategy Bank — Cards, Rows &amp; Actions</t>
        </is>
      </c>
      <c r="E21" t="inlineStr">
        <is>
          <t>P1</t>
        </is>
      </c>
      <c r="F21" t="inlineStr">
        <is>
          <t>From ⋯ menu choose **Dashboard**.</t>
        </is>
      </c>
      <c r="G21" t="inlineStr">
        <is>
          <t>Performance dashboard for that strategy opens.</t>
        </is>
      </c>
      <c r="H21" t="inlineStr">
        <is>
          <t>— Not tested</t>
        </is>
      </c>
      <c r="I21" t="inlineStr">
        <is>
          <t>— Not tested</t>
        </is>
      </c>
      <c r="J21" t="inlineStr">
        <is>
          <t>— Not tested</t>
        </is>
      </c>
    </row>
    <row r="22">
      <c r="A22" t="n">
        <v>21</v>
      </c>
      <c r="B22" t="inlineStr">
        <is>
          <t>1 — Strategies</t>
        </is>
      </c>
      <c r="C22" t="n">
        <v>3</v>
      </c>
      <c r="D22" t="inlineStr">
        <is>
          <t>Strategy Bank — Cards, Rows &amp; Actions</t>
        </is>
      </c>
      <c r="E22" t="inlineStr">
        <is>
          <t>P0</t>
        </is>
      </c>
      <c r="F22" t="inlineStr">
        <is>
          <t>From ⋯ menu choose **Edit**.</t>
        </is>
      </c>
      <c r="G22" t="inlineStr">
        <is>
          <t>Strategy Builder opens with existing data.</t>
        </is>
      </c>
      <c r="H22" t="inlineStr">
        <is>
          <t>— Not tested</t>
        </is>
      </c>
      <c r="I22" t="inlineStr">
        <is>
          <t>— Not tested</t>
        </is>
      </c>
      <c r="J22" t="inlineStr">
        <is>
          <t>— Not tested</t>
        </is>
      </c>
    </row>
    <row r="23">
      <c r="A23" t="n">
        <v>22</v>
      </c>
      <c r="B23" t="inlineStr">
        <is>
          <t>1 — Strategies</t>
        </is>
      </c>
      <c r="C23" t="n">
        <v>3</v>
      </c>
      <c r="D23" t="inlineStr">
        <is>
          <t>Strategy Bank — Cards, Rows &amp; Actions</t>
        </is>
      </c>
      <c r="E23" t="inlineStr">
        <is>
          <t>P1</t>
        </is>
      </c>
      <c r="F23" t="inlineStr">
        <is>
          <t>From ⋯ menu choose **Copy**.</t>
        </is>
      </c>
      <c r="G23" t="inlineStr">
        <is>
          <t>Duplicate appears in My Strategies as “(copy)” or “(copy N)”.</t>
        </is>
      </c>
      <c r="H23" t="inlineStr">
        <is>
          <t>— Not tested</t>
        </is>
      </c>
      <c r="I23" t="inlineStr">
        <is>
          <t>— Not tested</t>
        </is>
      </c>
      <c r="J23" t="inlineStr">
        <is>
          <t>— Not tested</t>
        </is>
      </c>
    </row>
    <row r="24">
      <c r="A24" t="n">
        <v>23</v>
      </c>
      <c r="B24" t="inlineStr">
        <is>
          <t>1 — Strategies</t>
        </is>
      </c>
      <c r="C24" t="n">
        <v>3</v>
      </c>
      <c r="D24" t="inlineStr">
        <is>
          <t>Strategy Bank — Cards, Rows &amp; Actions</t>
        </is>
      </c>
      <c r="E24" t="inlineStr">
        <is>
          <t>P1</t>
        </is>
      </c>
      <c r="F24" t="inlineStr">
        <is>
          <t>From ⋯ menu choose **Delete** → confirm.</t>
        </is>
      </c>
      <c r="G24" t="inlineStr">
        <is>
          <t>Strategy removed from list.</t>
        </is>
      </c>
      <c r="H24" t="inlineStr">
        <is>
          <t>— Not tested</t>
        </is>
      </c>
      <c r="I24" t="inlineStr">
        <is>
          <t>— Not tested</t>
        </is>
      </c>
      <c r="J24" t="inlineStr">
        <is>
          <t>— Not tested</t>
        </is>
      </c>
    </row>
    <row r="25">
      <c r="A25" t="n">
        <v>24</v>
      </c>
      <c r="B25" t="inlineStr">
        <is>
          <t>1 — Strategies</t>
        </is>
      </c>
      <c r="C25" t="n">
        <v>3</v>
      </c>
      <c r="D25" t="inlineStr">
        <is>
          <t>Strategy Bank — Cards, Rows &amp; Actions</t>
        </is>
      </c>
      <c r="E25" t="inlineStr">
        <is>
          <t>P1</t>
        </is>
      </c>
      <c r="F25" t="inlineStr">
        <is>
          <t>Switch to **Rows** view; repeat ⋯ menu on a row.</t>
        </is>
      </c>
      <c r="G25" t="inlineStr">
        <is>
          <t>Same actions work in row layout.</t>
        </is>
      </c>
      <c r="H25" t="inlineStr">
        <is>
          <t>— Not tested</t>
        </is>
      </c>
      <c r="I25" t="inlineStr">
        <is>
          <t>— Not tested</t>
        </is>
      </c>
      <c r="J25" t="inlineStr">
        <is>
          <t>— Not tested</t>
        </is>
      </c>
    </row>
    <row r="26">
      <c r="A26" t="n">
        <v>25</v>
      </c>
      <c r="B26" t="inlineStr">
        <is>
          <t>1 — Strategies</t>
        </is>
      </c>
      <c r="C26" t="n">
        <v>3</v>
      </c>
      <c r="D26" t="inlineStr">
        <is>
          <t>Strategy Bank — Cards, Rows &amp; Actions</t>
        </is>
      </c>
      <c r="E26" t="inlineStr">
        <is>
          <t>P2</t>
        </is>
      </c>
      <c r="F26" t="inlineStr">
        <is>
          <t>Double-click a **template preview** card (if shown).</t>
        </is>
      </c>
      <c r="G26" t="inlineStr">
        <is>
          <t>Opens builder from template with pre-filled flow.</t>
        </is>
      </c>
      <c r="H26" t="inlineStr">
        <is>
          <t>— Not tested</t>
        </is>
      </c>
      <c r="I26" t="inlineStr">
        <is>
          <t>— Not tested</t>
        </is>
      </c>
      <c r="J26" t="inlineStr">
        <is>
          <t>— Not tested</t>
        </is>
      </c>
    </row>
    <row r="27">
      <c r="A27" t="n">
        <v>26</v>
      </c>
      <c r="B27" t="inlineStr">
        <is>
          <t>1 — Strategies</t>
        </is>
      </c>
      <c r="C27" t="n">
        <v>4</v>
      </c>
      <c r="D27" t="inlineStr">
        <is>
          <t>Template Picker &amp; New Strategy</t>
        </is>
      </c>
      <c r="E27" t="inlineStr">
        <is>
          <t>P0</t>
        </is>
      </c>
      <c r="F27" t="inlineStr">
        <is>
          <t>Click **Build Strategy**.</t>
        </is>
      </c>
      <c r="G27" t="inlineStr">
        <is>
          <t>Template Picker opens (unless previously dismissed forever).</t>
        </is>
      </c>
      <c r="H27" t="inlineStr">
        <is>
          <t>— Not tested</t>
        </is>
      </c>
      <c r="I27" t="inlineStr">
        <is>
          <t>— Not tested</t>
        </is>
      </c>
      <c r="J27" t="inlineStr">
        <is>
          <t>— Not tested</t>
        </is>
      </c>
    </row>
    <row r="28">
      <c r="A28" t="n">
        <v>27</v>
      </c>
      <c r="B28" t="inlineStr">
        <is>
          <t>1 — Strategies</t>
        </is>
      </c>
      <c r="C28" t="n">
        <v>4</v>
      </c>
      <c r="D28" t="inlineStr">
        <is>
          <t>Template Picker &amp; New Strategy</t>
        </is>
      </c>
      <c r="E28" t="inlineStr">
        <is>
          <t>P1</t>
        </is>
      </c>
      <c r="F28" t="inlineStr">
        <is>
          <t>Browse template list; read template name and description.</t>
        </is>
      </c>
      <c r="G28" t="inlineStr">
        <is>
          <t>Templates display correctly.</t>
        </is>
      </c>
      <c r="H28" t="inlineStr">
        <is>
          <t>— Not tested</t>
        </is>
      </c>
      <c r="I28" t="inlineStr">
        <is>
          <t>— Not tested</t>
        </is>
      </c>
      <c r="J28" t="inlineStr">
        <is>
          <t>— Not tested</t>
        </is>
      </c>
    </row>
    <row r="29">
      <c r="A29" t="n">
        <v>28</v>
      </c>
      <c r="B29" t="inlineStr">
        <is>
          <t>1 — Strategies</t>
        </is>
      </c>
      <c r="C29" t="n">
        <v>4</v>
      </c>
      <c r="D29" t="inlineStr">
        <is>
          <t>Template Picker &amp; New Strategy</t>
        </is>
      </c>
      <c r="E29" t="inlineStr">
        <is>
          <t>P0</t>
        </is>
      </c>
      <c r="F29" t="inlineStr">
        <is>
          <t>Select a template → confirm/use.</t>
        </is>
      </c>
      <c r="G29" t="inlineStr">
        <is>
          <t>Strategy Builder opens at Step 1 with template data.</t>
        </is>
      </c>
      <c r="H29" t="inlineStr">
        <is>
          <t>— Not tested</t>
        </is>
      </c>
      <c r="I29" t="inlineStr">
        <is>
          <t>— Not tested</t>
        </is>
      </c>
      <c r="J29" t="inlineStr">
        <is>
          <t>— Not tested</t>
        </is>
      </c>
    </row>
    <row r="30">
      <c r="A30" t="n">
        <v>29</v>
      </c>
      <c r="B30" t="inlineStr">
        <is>
          <t>1 — Strategies</t>
        </is>
      </c>
      <c r="C30" t="n">
        <v>4</v>
      </c>
      <c r="D30" t="inlineStr">
        <is>
          <t>Template Picker &amp; New Strategy</t>
        </is>
      </c>
      <c r="E30" t="inlineStr">
        <is>
          <t>P1</t>
        </is>
      </c>
      <c r="F30" t="inlineStr">
        <is>
          <t>Close builder; click Build Strategy again → skip/cancel template picker.</t>
        </is>
      </c>
      <c r="G30" t="inlineStr">
        <is>
          <t>Blank builder opens OR picker dismiss option works.</t>
        </is>
      </c>
      <c r="H30" t="inlineStr">
        <is>
          <t>— Not tested</t>
        </is>
      </c>
      <c r="I30" t="inlineStr">
        <is>
          <t>— Not tested</t>
        </is>
      </c>
      <c r="J30" t="inlineStr">
        <is>
          <t>— Not tested</t>
        </is>
      </c>
    </row>
    <row r="31">
      <c r="A31" t="n">
        <v>30</v>
      </c>
      <c r="B31" t="inlineStr">
        <is>
          <t>1 — Strategies</t>
        </is>
      </c>
      <c r="C31" t="n">
        <v>4</v>
      </c>
      <c r="D31" t="inlineStr">
        <is>
          <t>Template Picker &amp; New Strategy</t>
        </is>
      </c>
      <c r="E31" t="inlineStr">
        <is>
          <t>P2</t>
        </is>
      </c>
      <c r="F31" t="inlineStr">
        <is>
          <t>If “don’t show again” exists, test it and rebuild.</t>
        </is>
      </c>
      <c r="G31" t="inlineStr">
        <is>
          <t>Picker behavior matches setting after reload.</t>
        </is>
      </c>
      <c r="H31" t="inlineStr">
        <is>
          <t>— Not tested</t>
        </is>
      </c>
      <c r="I31" t="inlineStr">
        <is>
          <t>— Not tested</t>
        </is>
      </c>
      <c r="J31" t="inlineStr">
        <is>
          <t>— Not tested</t>
        </is>
      </c>
    </row>
    <row r="32">
      <c r="A32" t="n">
        <v>31</v>
      </c>
      <c r="B32" t="inlineStr">
        <is>
          <t>1 — Strategies</t>
        </is>
      </c>
      <c r="C32" t="n">
        <v>5</v>
      </c>
      <c r="D32" t="inlineStr">
        <is>
          <t>Strategy Builder — Shell &amp; Navigation</t>
        </is>
      </c>
      <c r="E32" t="inlineStr">
        <is>
          <t>P0</t>
        </is>
      </c>
      <c r="F32" t="inlineStr">
        <is>
          <t>Open Strategy Builder (new or edit).</t>
        </is>
      </c>
      <c r="G32" t="inlineStr">
        <is>
          <t>Modal opens full-screen style; backdrop visible.</t>
        </is>
      </c>
      <c r="H32" t="inlineStr">
        <is>
          <t>— Not tested</t>
        </is>
      </c>
      <c r="I32" t="inlineStr">
        <is>
          <t>— Not tested</t>
        </is>
      </c>
      <c r="J32" t="inlineStr">
        <is>
          <t>— Not tested</t>
        </is>
      </c>
    </row>
    <row r="33">
      <c r="A33" t="n">
        <v>32</v>
      </c>
      <c r="B33" t="inlineStr">
        <is>
          <t>1 — Strategies</t>
        </is>
      </c>
      <c r="C33" t="n">
        <v>5</v>
      </c>
      <c r="D33" t="inlineStr">
        <is>
          <t>Strategy Builder — Shell &amp; Navigation</t>
        </is>
      </c>
      <c r="E33" t="inlineStr">
        <is>
          <t>P0</t>
        </is>
      </c>
      <c r="F33" t="inlineStr">
        <is>
          <t>Verify wizard header shows 4 steps: General Info, Strategy Flow, Trade Tags, Review.</t>
        </is>
      </c>
      <c r="G33" t="inlineStr">
        <is>
          <t>All four step labels visible.</t>
        </is>
      </c>
      <c r="H33" t="inlineStr">
        <is>
          <t>— Not tested</t>
        </is>
      </c>
      <c r="I33" t="inlineStr">
        <is>
          <t>— Not tested</t>
        </is>
      </c>
      <c r="J33" t="inlineStr">
        <is>
          <t>— Not tested</t>
        </is>
      </c>
    </row>
    <row r="34">
      <c r="A34" t="n">
        <v>33</v>
      </c>
      <c r="B34" t="inlineStr">
        <is>
          <t>1 — Strategies</t>
        </is>
      </c>
      <c r="C34" t="n">
        <v>5</v>
      </c>
      <c r="D34" t="inlineStr">
        <is>
          <t>Strategy Builder — Shell &amp; Navigation</t>
        </is>
      </c>
      <c r="E34" t="inlineStr">
        <is>
          <t>P1</t>
        </is>
      </c>
      <c r="F34" t="inlineStr">
        <is>
          <t>Click **×** close button.</t>
        </is>
      </c>
      <c r="G34" t="inlineStr">
        <is>
          <t>Modal closes; no data loss prompt if nothing changed (note behavior).</t>
        </is>
      </c>
      <c r="H34" t="inlineStr">
        <is>
          <t>— Not tested</t>
        </is>
      </c>
      <c r="I34" t="inlineStr">
        <is>
          <t>— Not tested</t>
        </is>
      </c>
      <c r="J34" t="inlineStr">
        <is>
          <t>— Not tested</t>
        </is>
      </c>
    </row>
    <row r="35">
      <c r="A35" t="n">
        <v>34</v>
      </c>
      <c r="B35" t="inlineStr">
        <is>
          <t>1 — Strategies</t>
        </is>
      </c>
      <c r="C35" t="n">
        <v>5</v>
      </c>
      <c r="D35" t="inlineStr">
        <is>
          <t>Strategy Builder — Shell &amp; Navigation</t>
        </is>
      </c>
      <c r="E35" t="inlineStr">
        <is>
          <t>P2</t>
        </is>
      </c>
      <c r="F35" t="inlineStr">
        <is>
          <t>Click backdrop outside modal.</t>
        </is>
      </c>
      <c r="G35" t="inlineStr">
        <is>
          <t>Modal should NOT close (by design) — only × closes.</t>
        </is>
      </c>
      <c r="H35" t="inlineStr">
        <is>
          <t>— Not tested</t>
        </is>
      </c>
      <c r="I35" t="inlineStr">
        <is>
          <t>— Not tested</t>
        </is>
      </c>
      <c r="J35" t="inlineStr">
        <is>
          <t>— Not tested</t>
        </is>
      </c>
    </row>
    <row r="36">
      <c r="A36" t="n">
        <v>35</v>
      </c>
      <c r="B36" t="inlineStr">
        <is>
          <t>1 — Strategies</t>
        </is>
      </c>
      <c r="C36" t="n">
        <v>5</v>
      </c>
      <c r="D36" t="inlineStr">
        <is>
          <t>Strategy Builder — Shell &amp; Navigation</t>
        </is>
      </c>
      <c r="E36" t="inlineStr">
        <is>
          <t>P1</t>
        </is>
      </c>
      <c r="F36" t="inlineStr">
        <is>
          <t>Click **TEMPLATES** button in header.</t>
        </is>
      </c>
      <c r="G36" t="inlineStr">
        <is>
          <t>Template picker re-opens.</t>
        </is>
      </c>
      <c r="H36" t="inlineStr">
        <is>
          <t>— Not tested</t>
        </is>
      </c>
      <c r="I36" t="inlineStr">
        <is>
          <t>— Not tested</t>
        </is>
      </c>
      <c r="J36" t="inlineStr">
        <is>
          <t>— Not tested</t>
        </is>
      </c>
    </row>
    <row r="37">
      <c r="A37" t="n">
        <v>36</v>
      </c>
      <c r="B37" t="inlineStr">
        <is>
          <t>1 — Strategies</t>
        </is>
      </c>
      <c r="C37" t="n">
        <v>5</v>
      </c>
      <c r="D37" t="inlineStr">
        <is>
          <t>Strategy Builder — Shell &amp; Navigation</t>
        </is>
      </c>
      <c r="E37" t="inlineStr">
        <is>
          <t>P0</t>
        </is>
      </c>
      <c r="F37" t="inlineStr">
        <is>
          <t>On Step 1, click Step 3 tab directly.</t>
        </is>
      </c>
      <c r="G37" t="inlineStr">
        <is>
          <t>Should block or force back to Step 1 if required fields empty.</t>
        </is>
      </c>
      <c r="H37" t="inlineStr">
        <is>
          <t>— Not tested</t>
        </is>
      </c>
      <c r="I37" t="inlineStr">
        <is>
          <t>— Not tested</t>
        </is>
      </c>
      <c r="J37" t="inlineStr">
        <is>
          <t>— Not tested</t>
        </is>
      </c>
    </row>
    <row r="38">
      <c r="A38" t="n">
        <v>37</v>
      </c>
      <c r="B38" t="inlineStr">
        <is>
          <t>1 — Strategies</t>
        </is>
      </c>
      <c r="C38" t="n">
        <v>5</v>
      </c>
      <c r="D38" t="inlineStr">
        <is>
          <t>Strategy Builder — Shell &amp; Navigation</t>
        </is>
      </c>
      <c r="E38" t="inlineStr">
        <is>
          <t>P1</t>
        </is>
      </c>
      <c r="F38" t="inlineStr">
        <is>
          <t>Fill required Step 1 fields, then click Step 4.</t>
        </is>
      </c>
      <c r="G38" t="inlineStr">
        <is>
          <t>Can jump ahead when Step 1 complete.</t>
        </is>
      </c>
      <c r="H38" t="inlineStr">
        <is>
          <t>— Not tested</t>
        </is>
      </c>
      <c r="I38" t="inlineStr">
        <is>
          <t>— Not tested</t>
        </is>
      </c>
      <c r="J38" t="inlineStr">
        <is>
          <t>— Not tested</t>
        </is>
      </c>
    </row>
    <row r="39">
      <c r="A39" t="n">
        <v>38</v>
      </c>
      <c r="B39" t="inlineStr">
        <is>
          <t>1 — Strategies</t>
        </is>
      </c>
      <c r="C39" t="n">
        <v>5</v>
      </c>
      <c r="D39" t="inlineStr">
        <is>
          <t>Strategy Builder — Shell &amp; Navigation</t>
        </is>
      </c>
      <c r="E39" t="inlineStr">
        <is>
          <t>P1</t>
        </is>
      </c>
      <c r="F39" t="inlineStr">
        <is>
          <t>Click **Back** on Step 2.</t>
        </is>
      </c>
      <c r="G39" t="inlineStr">
        <is>
          <t>Returns to Step 1 with data preserved.</t>
        </is>
      </c>
      <c r="H39" t="inlineStr">
        <is>
          <t>— Not tested</t>
        </is>
      </c>
      <c r="I39" t="inlineStr">
        <is>
          <t>— Not tested</t>
        </is>
      </c>
      <c r="J39" t="inlineStr">
        <is>
          <t>— Not tested</t>
        </is>
      </c>
    </row>
    <row r="40">
      <c r="A40" t="n">
        <v>39</v>
      </c>
      <c r="B40" t="inlineStr">
        <is>
          <t>1 — Strategies</t>
        </is>
      </c>
      <c r="C40" t="n">
        <v>5</v>
      </c>
      <c r="D40" t="inlineStr">
        <is>
          <t>Strategy Builder — Shell &amp; Navigation</t>
        </is>
      </c>
      <c r="E40" t="inlineStr">
        <is>
          <t>P0</t>
        </is>
      </c>
      <c r="F40" t="inlineStr">
        <is>
          <t>Click **Next** through all steps.</t>
        </is>
      </c>
      <c r="G40" t="inlineStr">
        <is>
          <t>Steps advance 1→2→3→4.</t>
        </is>
      </c>
      <c r="H40" t="inlineStr">
        <is>
          <t>— Not tested</t>
        </is>
      </c>
      <c r="I40" t="inlineStr">
        <is>
          <t>— Not tested</t>
        </is>
      </c>
      <c r="J40" t="inlineStr">
        <is>
          <t>— Not tested</t>
        </is>
      </c>
    </row>
    <row r="41">
      <c r="A41" t="n">
        <v>40</v>
      </c>
      <c r="B41" t="inlineStr">
        <is>
          <t>1 — Strategies</t>
        </is>
      </c>
      <c r="C41" t="n">
        <v>6</v>
      </c>
      <c r="D41" t="inlineStr">
        <is>
          <t>Builder Step 1 — General Info (every field)</t>
        </is>
      </c>
      <c r="E41" t="inlineStr">
        <is>
          <t>P0</t>
        </is>
      </c>
      <c r="F41" t="inlineStr">
        <is>
          <t>**Strategy name** — leave empty, click Next.</t>
        </is>
      </c>
      <c r="G41" t="inlineStr">
        <is>
          <t>Red hint appears; cannot proceed; lists missing: name, markets, timeframes.</t>
        </is>
      </c>
      <c r="H41" t="inlineStr">
        <is>
          <t>— Not tested</t>
        </is>
      </c>
      <c r="I41" t="inlineStr">
        <is>
          <t>— Not tested</t>
        </is>
      </c>
      <c r="J41" t="inlineStr">
        <is>
          <t>— Not tested</t>
        </is>
      </c>
    </row>
    <row r="42">
      <c r="A42" t="n">
        <v>41</v>
      </c>
      <c r="B42" t="inlineStr">
        <is>
          <t>1 — Strategies</t>
        </is>
      </c>
      <c r="C42" t="n">
        <v>6</v>
      </c>
      <c r="D42" t="inlineStr">
        <is>
          <t>Builder Step 1 — General Info (every field)</t>
        </is>
      </c>
      <c r="E42" t="inlineStr">
        <is>
          <t>P0</t>
        </is>
      </c>
      <c r="F42" t="inlineStr">
        <is>
          <t>Enter strategy name (max 80 chars).</t>
        </is>
      </c>
      <c r="G42" t="inlineStr">
        <is>
          <t>Name accepts input; character limit enforced if exceeded.</t>
        </is>
      </c>
      <c r="H42" t="inlineStr">
        <is>
          <t>— Not tested</t>
        </is>
      </c>
      <c r="I42" t="inlineStr">
        <is>
          <t>— Not tested</t>
        </is>
      </c>
      <c r="J42" t="inlineStr">
        <is>
          <t>— Not tested</t>
        </is>
      </c>
    </row>
    <row r="43">
      <c r="A43" t="n">
        <v>42</v>
      </c>
      <c r="B43" t="inlineStr">
        <is>
          <t>1 — Strategies</t>
        </is>
      </c>
      <c r="C43" t="n">
        <v>6</v>
      </c>
      <c r="D43" t="inlineStr">
        <is>
          <t>Builder Step 1 — General Info (every field)</t>
        </is>
      </c>
      <c r="E43" t="inlineStr">
        <is>
          <t>P2</t>
        </is>
      </c>
      <c r="F43" t="inlineStr">
        <is>
          <t>**Emoji / icon picker** — select an emoji.</t>
        </is>
      </c>
      <c r="G43" t="inlineStr">
        <is>
          <t>Icon updates on card preview areas.</t>
        </is>
      </c>
      <c r="H43" t="inlineStr">
        <is>
          <t>— Not tested</t>
        </is>
      </c>
      <c r="I43" t="inlineStr">
        <is>
          <t>— Not tested</t>
        </is>
      </c>
      <c r="J43" t="inlineStr">
        <is>
          <t>— Not tested</t>
        </is>
      </c>
    </row>
    <row r="44">
      <c r="A44" t="n">
        <v>43</v>
      </c>
      <c r="B44" t="inlineStr">
        <is>
          <t>1 — Strategies</t>
        </is>
      </c>
      <c r="C44" t="n">
        <v>6</v>
      </c>
      <c r="D44" t="inlineStr">
        <is>
          <t>Builder Step 1 — General Info (every field)</t>
        </is>
      </c>
      <c r="E44" t="inlineStr">
        <is>
          <t>P1</t>
        </is>
      </c>
      <c r="F44" t="inlineStr">
        <is>
          <t>**Description** — type text; check character counter (500 max).</t>
        </is>
      </c>
      <c r="G44" t="inlineStr">
        <is>
          <t>Counter updates; long text truncates or blocks at limit.</t>
        </is>
      </c>
      <c r="H44" t="inlineStr">
        <is>
          <t>— Not tested</t>
        </is>
      </c>
      <c r="I44" t="inlineStr">
        <is>
          <t>— Not tested</t>
        </is>
      </c>
      <c r="J44" t="inlineStr">
        <is>
          <t>— Not tested</t>
        </is>
      </c>
    </row>
    <row r="45">
      <c r="A45" t="n">
        <v>44</v>
      </c>
      <c r="B45" t="inlineStr">
        <is>
          <t>1 — Strategies</t>
        </is>
      </c>
      <c r="C45" t="n">
        <v>6</v>
      </c>
      <c r="D45" t="inlineStr">
        <is>
          <t>Builder Step 1 — General Info (every field)</t>
        </is>
      </c>
      <c r="E45" t="inlineStr">
        <is>
          <t>P1</t>
        </is>
      </c>
      <c r="F45" t="inlineStr">
        <is>
          <t>**Tags** — select from dropdown presets.</t>
        </is>
      </c>
      <c r="G45" t="inlineStr">
        <is>
          <t>Tags appear as chips/pills.</t>
        </is>
      </c>
      <c r="H45" t="inlineStr">
        <is>
          <t>— Not tested</t>
        </is>
      </c>
      <c r="I45" t="inlineStr">
        <is>
          <t>— Not tested</t>
        </is>
      </c>
      <c r="J45" t="inlineStr">
        <is>
          <t>— Not tested</t>
        </is>
      </c>
    </row>
    <row r="46">
      <c r="A46" t="n">
        <v>45</v>
      </c>
      <c r="B46" t="inlineStr">
        <is>
          <t>1 — Strategies</t>
        </is>
      </c>
      <c r="C46" t="n">
        <v>6</v>
      </c>
      <c r="D46" t="inlineStr">
        <is>
          <t>Builder Step 1 — General Info (every field)</t>
        </is>
      </c>
      <c r="E46" t="inlineStr">
        <is>
          <t>P1</t>
        </is>
      </c>
      <c r="F46" t="inlineStr">
        <is>
          <t>**Tags** — add a custom tag.</t>
        </is>
      </c>
      <c r="G46" t="inlineStr">
        <is>
          <t>Custom tag added to list.</t>
        </is>
      </c>
      <c r="H46" t="inlineStr">
        <is>
          <t>— Not tested</t>
        </is>
      </c>
      <c r="I46" t="inlineStr">
        <is>
          <t>— Not tested</t>
        </is>
      </c>
      <c r="J46" t="inlineStr">
        <is>
          <t>— Not tested</t>
        </is>
      </c>
    </row>
    <row r="47">
      <c r="A47" t="n">
        <v>46</v>
      </c>
      <c r="B47" t="inlineStr">
        <is>
          <t>1 — Strategies</t>
        </is>
      </c>
      <c r="C47" t="n">
        <v>6</v>
      </c>
      <c r="D47" t="inlineStr">
        <is>
          <t>Builder Step 1 — General Info (every field)</t>
        </is>
      </c>
      <c r="E47" t="inlineStr">
        <is>
          <t>P0</t>
        </is>
      </c>
      <c r="F47" t="inlineStr">
        <is>
          <t>**Markets** — select at least one market category (required).</t>
        </is>
      </c>
      <c r="G47" t="inlineStr">
        <is>
          <t>Selected markets show as active; required for Next.</t>
        </is>
      </c>
      <c r="H47" t="inlineStr">
        <is>
          <t>— Not tested</t>
        </is>
      </c>
      <c r="I47" t="inlineStr">
        <is>
          <t>— Not tested</t>
        </is>
      </c>
      <c r="J47" t="inlineStr">
        <is>
          <t>— Not tested</t>
        </is>
      </c>
    </row>
    <row r="48">
      <c r="A48" t="n">
        <v>47</v>
      </c>
      <c r="B48" t="inlineStr">
        <is>
          <t>1 — Strategies</t>
        </is>
      </c>
      <c r="C48" t="n">
        <v>6</v>
      </c>
      <c r="D48" t="inlineStr">
        <is>
          <t>Builder Step 1 — General Info (every field)</t>
        </is>
      </c>
      <c r="E48" t="inlineStr">
        <is>
          <t>P0</t>
        </is>
      </c>
      <c r="F48" t="inlineStr">
        <is>
          <t>Deselect all markets.</t>
        </is>
      </c>
      <c r="G48" t="inlineStr">
        <is>
          <t>Next blocked with “markets” in missing list.</t>
        </is>
      </c>
      <c r="H48" t="inlineStr">
        <is>
          <t>— Not tested</t>
        </is>
      </c>
      <c r="I48" t="inlineStr">
        <is>
          <t>— Not tested</t>
        </is>
      </c>
      <c r="J48" t="inlineStr">
        <is>
          <t>— Not tested</t>
        </is>
      </c>
    </row>
    <row r="49">
      <c r="A49" t="n">
        <v>48</v>
      </c>
      <c r="B49" t="inlineStr">
        <is>
          <t>1 — Strategies</t>
        </is>
      </c>
      <c r="C49" t="n">
        <v>6</v>
      </c>
      <c r="D49" t="inlineStr">
        <is>
          <t>Builder Step 1 — General Info (every field)</t>
        </is>
      </c>
      <c r="E49" t="inlineStr">
        <is>
          <t>P1</t>
        </is>
      </c>
      <c r="F49" t="inlineStr">
        <is>
          <t>**Instruments** — pick specific symbols if field exists.</t>
        </is>
      </c>
      <c r="G49" t="inlineStr">
        <is>
          <t>Instruments save with strategy.</t>
        </is>
      </c>
      <c r="H49" t="inlineStr">
        <is>
          <t>— Not tested</t>
        </is>
      </c>
      <c r="I49" t="inlineStr">
        <is>
          <t>— Not tested</t>
        </is>
      </c>
      <c r="J49" t="inlineStr">
        <is>
          <t>— Not tested</t>
        </is>
      </c>
    </row>
    <row r="50">
      <c r="A50" t="n">
        <v>49</v>
      </c>
      <c r="B50" t="inlineStr">
        <is>
          <t>1 — Strategies</t>
        </is>
      </c>
      <c r="C50" t="n">
        <v>6</v>
      </c>
      <c r="D50" t="inlineStr">
        <is>
          <t>Builder Step 1 — General Info (every field)</t>
        </is>
      </c>
      <c r="E50" t="inlineStr">
        <is>
          <t>P2</t>
        </is>
      </c>
      <c r="F50" t="inlineStr">
        <is>
          <t>**Supporting instruments** — add secondary symbols.</t>
        </is>
      </c>
      <c r="G50" t="inlineStr">
        <is>
          <t>Supporting list populates.</t>
        </is>
      </c>
      <c r="H50" t="inlineStr">
        <is>
          <t>— Not tested</t>
        </is>
      </c>
      <c r="I50" t="inlineStr">
        <is>
          <t>— Not tested</t>
        </is>
      </c>
      <c r="J50" t="inlineStr">
        <is>
          <t>— Not tested</t>
        </is>
      </c>
    </row>
    <row r="51">
      <c r="A51" t="n">
        <v>50</v>
      </c>
      <c r="B51" t="inlineStr">
        <is>
          <t>1 — Strategies</t>
        </is>
      </c>
      <c r="C51" t="n">
        <v>6</v>
      </c>
      <c r="D51" t="inlineStr">
        <is>
          <t>Builder Step 1 — General Info (every field)</t>
        </is>
      </c>
      <c r="E51" t="inlineStr">
        <is>
          <t>P0</t>
        </is>
      </c>
      <c r="F51" t="inlineStr">
        <is>
          <t>**Timeframes** — select at least one (required).</t>
        </is>
      </c>
      <c r="G51" t="inlineStr">
        <is>
          <t>TF chips active; required for Next.</t>
        </is>
      </c>
      <c r="H51" t="inlineStr">
        <is>
          <t>— Not tested</t>
        </is>
      </c>
      <c r="I51" t="inlineStr">
        <is>
          <t>— Not tested</t>
        </is>
      </c>
      <c r="J51" t="inlineStr">
        <is>
          <t>— Not tested</t>
        </is>
      </c>
    </row>
    <row r="52">
      <c r="A52" t="n">
        <v>51</v>
      </c>
      <c r="B52" t="inlineStr">
        <is>
          <t>1 — Strategies</t>
        </is>
      </c>
      <c r="C52" t="n">
        <v>6</v>
      </c>
      <c r="D52" t="inlineStr">
        <is>
          <t>Builder Step 1 — General Info (every field)</t>
        </is>
      </c>
      <c r="E52" t="inlineStr">
        <is>
          <t>P2</t>
        </is>
      </c>
      <c r="F52" t="inlineStr">
        <is>
          <t>Add a **custom timeframe** if option exists.</t>
        </is>
      </c>
      <c r="G52" t="inlineStr">
        <is>
          <t>Custom TF appears in selection.</t>
        </is>
      </c>
      <c r="H52" t="inlineStr">
        <is>
          <t>— Not tested</t>
        </is>
      </c>
      <c r="I52" t="inlineStr">
        <is>
          <t>— Not tested</t>
        </is>
      </c>
      <c r="J52" t="inlineStr">
        <is>
          <t>— Not tested</t>
        </is>
      </c>
    </row>
    <row r="53">
      <c r="A53" t="n">
        <v>52</v>
      </c>
      <c r="B53" t="inlineStr">
        <is>
          <t>1 — Strategies</t>
        </is>
      </c>
      <c r="C53" t="n">
        <v>6</v>
      </c>
      <c r="D53" t="inlineStr">
        <is>
          <t>Builder Step 1 — General Info (every field)</t>
        </is>
      </c>
      <c r="E53" t="inlineStr">
        <is>
          <t>P2</t>
        </is>
      </c>
      <c r="F53" t="inlineStr">
        <is>
          <t>**Strategy image** — upload an image file.</t>
        </is>
      </c>
      <c r="G53" t="inlineStr">
        <is>
          <t>Image preview shows; save includes image.</t>
        </is>
      </c>
      <c r="H53" t="inlineStr">
        <is>
          <t>— Not tested</t>
        </is>
      </c>
      <c r="I53" t="inlineStr">
        <is>
          <t>— Not tested</t>
        </is>
      </c>
      <c r="J53" t="inlineStr">
        <is>
          <t>— Not tested</t>
        </is>
      </c>
    </row>
    <row r="54">
      <c r="A54" t="n">
        <v>53</v>
      </c>
      <c r="B54" t="inlineStr">
        <is>
          <t>1 — Strategies</t>
        </is>
      </c>
      <c r="C54" t="n">
        <v>6</v>
      </c>
      <c r="D54" t="inlineStr">
        <is>
          <t>Builder Step 1 — General Info (every field)</t>
        </is>
      </c>
      <c r="E54" t="inlineStr">
        <is>
          <t>P0</t>
        </is>
      </c>
      <c r="F54" t="inlineStr">
        <is>
          <t>Complete name + markets + timeframes → click **Next**.</t>
        </is>
      </c>
      <c r="G54" t="inlineStr">
        <is>
          <t>Advances to Step 2 without errors.</t>
        </is>
      </c>
      <c r="H54" t="inlineStr">
        <is>
          <t>— Not tested</t>
        </is>
      </c>
      <c r="I54" t="inlineStr">
        <is>
          <t>— Not tested</t>
        </is>
      </c>
      <c r="J54" t="inlineStr">
        <is>
          <t>— Not tested</t>
        </is>
      </c>
    </row>
    <row r="55">
      <c r="A55" t="n">
        <v>54</v>
      </c>
      <c r="B55" t="inlineStr">
        <is>
          <t>1 — Strategies</t>
        </is>
      </c>
      <c r="C55" t="n">
        <v>7</v>
      </c>
      <c r="D55" t="inlineStr">
        <is>
          <t>Builder Step 2 — Strategy Flow Canvas</t>
        </is>
      </c>
      <c r="E55" t="inlineStr">
        <is>
          <t>P0</t>
        </is>
      </c>
      <c r="F55" t="inlineStr">
        <is>
          <t>On Step 2, locate the visual **canvas** workspace.</t>
        </is>
      </c>
      <c r="G55" t="inlineStr">
        <is>
          <t>Canvas renders with grid/background.</t>
        </is>
      </c>
      <c r="H55" t="inlineStr">
        <is>
          <t>— Not tested</t>
        </is>
      </c>
      <c r="I55" t="inlineStr">
        <is>
          <t>— Not tested</t>
        </is>
      </c>
      <c r="J55" t="inlineStr">
        <is>
          <t>— Not tested</t>
        </is>
      </c>
    </row>
    <row r="56">
      <c r="A56" t="n">
        <v>55</v>
      </c>
      <c r="B56" t="inlineStr">
        <is>
          <t>1 — Strategies</t>
        </is>
      </c>
      <c r="C56" t="n">
        <v>7</v>
      </c>
      <c r="D56" t="inlineStr">
        <is>
          <t>Builder Step 2 — Strategy Flow Canvas</t>
        </is>
      </c>
      <c r="E56" t="inlineStr">
        <is>
          <t>P0</t>
        </is>
      </c>
      <c r="F56" t="inlineStr">
        <is>
          <t>Open the **palette** (left panel) — list condition/group types.</t>
        </is>
      </c>
      <c r="G56" t="inlineStr">
        <is>
          <t>Palette items visible and clickable.</t>
        </is>
      </c>
      <c r="H56" t="inlineStr">
        <is>
          <t>— Not tested</t>
        </is>
      </c>
      <c r="I56" t="inlineStr">
        <is>
          <t>— Not tested</t>
        </is>
      </c>
      <c r="J56" t="inlineStr">
        <is>
          <t>— Not tested</t>
        </is>
      </c>
    </row>
    <row r="57">
      <c r="A57" t="n">
        <v>56</v>
      </c>
      <c r="B57" t="inlineStr">
        <is>
          <t>1 — Strategies</t>
        </is>
      </c>
      <c r="C57" t="n">
        <v>7</v>
      </c>
      <c r="D57" t="inlineStr">
        <is>
          <t>Builder Step 2 — Strategy Flow Canvas</t>
        </is>
      </c>
      <c r="E57" t="inlineStr">
        <is>
          <t>P0</t>
        </is>
      </c>
      <c r="F57" t="inlineStr">
        <is>
          <t>Add a **group** to the canvas.</t>
        </is>
      </c>
      <c r="G57" t="inlineStr">
        <is>
          <t>Group node appears on canvas.</t>
        </is>
      </c>
      <c r="H57" t="inlineStr">
        <is>
          <t>— Not tested</t>
        </is>
      </c>
      <c r="I57" t="inlineStr">
        <is>
          <t>— Not tested</t>
        </is>
      </c>
      <c r="J57" t="inlineStr">
        <is>
          <t>— Not tested</t>
        </is>
      </c>
    </row>
    <row r="58">
      <c r="A58" t="n">
        <v>57</v>
      </c>
      <c r="B58" t="inlineStr">
        <is>
          <t>1 — Strategies</t>
        </is>
      </c>
      <c r="C58" t="n">
        <v>7</v>
      </c>
      <c r="D58" t="inlineStr">
        <is>
          <t>Builder Step 2 — Strategy Flow Canvas</t>
        </is>
      </c>
      <c r="E58" t="inlineStr">
        <is>
          <t>P0</t>
        </is>
      </c>
      <c r="F58" t="inlineStr">
        <is>
          <t>Add a **condition** inside a group.</t>
        </is>
      </c>
      <c r="G58" t="inlineStr">
        <is>
          <t>Condition node appears; linked to group.</t>
        </is>
      </c>
      <c r="H58" t="inlineStr">
        <is>
          <t>— Not tested</t>
        </is>
      </c>
      <c r="I58" t="inlineStr">
        <is>
          <t>— Not tested</t>
        </is>
      </c>
      <c r="J58" t="inlineStr">
        <is>
          <t>— Not tested</t>
        </is>
      </c>
    </row>
    <row r="59">
      <c r="A59" t="n">
        <v>58</v>
      </c>
      <c r="B59" t="inlineStr">
        <is>
          <t>1 — Strategies</t>
        </is>
      </c>
      <c r="C59" t="n">
        <v>7</v>
      </c>
      <c r="D59" t="inlineStr">
        <is>
          <t>Builder Step 2 — Strategy Flow Canvas</t>
        </is>
      </c>
      <c r="E59" t="inlineStr">
        <is>
          <t>P1</t>
        </is>
      </c>
      <c r="F59" t="inlineStr">
        <is>
          <t>Set condition status: **Mandatory**, **Optional**, or **Invalidate**.</t>
        </is>
      </c>
      <c r="G59" t="inlineStr">
        <is>
          <t>Status badge/color updates on node.</t>
        </is>
      </c>
      <c r="H59" t="inlineStr">
        <is>
          <t>— Not tested</t>
        </is>
      </c>
      <c r="I59" t="inlineStr">
        <is>
          <t>— Not tested</t>
        </is>
      </c>
      <c r="J59" t="inlineStr">
        <is>
          <t>— Not tested</t>
        </is>
      </c>
    </row>
    <row r="60">
      <c r="A60" t="n">
        <v>59</v>
      </c>
      <c r="B60" t="inlineStr">
        <is>
          <t>1 — Strategies</t>
        </is>
      </c>
      <c r="C60" t="n">
        <v>7</v>
      </c>
      <c r="D60" t="inlineStr">
        <is>
          <t>Builder Step 2 — Strategy Flow Canvas</t>
        </is>
      </c>
      <c r="E60" t="inlineStr">
        <is>
          <t>P1</t>
        </is>
      </c>
      <c r="F60" t="inlineStr">
        <is>
          <t>Connect nodes with **edges** if flow connections supported.</t>
        </is>
      </c>
      <c r="G60" t="inlineStr">
        <is>
          <t>Lines/arrows connect nodes.</t>
        </is>
      </c>
      <c r="H60" t="inlineStr">
        <is>
          <t>— Not tested</t>
        </is>
      </c>
      <c r="I60" t="inlineStr">
        <is>
          <t>— Not tested</t>
        </is>
      </c>
      <c r="J60" t="inlineStr">
        <is>
          <t>— Not tested</t>
        </is>
      </c>
    </row>
    <row r="61">
      <c r="A61" t="n">
        <v>60</v>
      </c>
      <c r="B61" t="inlineStr">
        <is>
          <t>1 — Strategies</t>
        </is>
      </c>
      <c r="C61" t="n">
        <v>7</v>
      </c>
      <c r="D61" t="inlineStr">
        <is>
          <t>Builder Step 2 — Strategy Flow Canvas</t>
        </is>
      </c>
      <c r="E61" t="inlineStr">
        <is>
          <t>P0</t>
        </is>
      </c>
      <c r="F61" t="inlineStr">
        <is>
          <t>Select a node → open **inspector** (right panel).</t>
        </is>
      </c>
      <c r="G61" t="inlineStr">
        <is>
          <t>Inspector shows editable fields for selected node.</t>
        </is>
      </c>
      <c r="H61" t="inlineStr">
        <is>
          <t>— Not tested</t>
        </is>
      </c>
      <c r="I61" t="inlineStr">
        <is>
          <t>— Not tested</t>
        </is>
      </c>
      <c r="J61" t="inlineStr">
        <is>
          <t>— Not tested</t>
        </is>
      </c>
    </row>
    <row r="62">
      <c r="A62" t="n">
        <v>61</v>
      </c>
      <c r="B62" t="inlineStr">
        <is>
          <t>1 — Strategies</t>
        </is>
      </c>
      <c r="C62" t="n">
        <v>7</v>
      </c>
      <c r="D62" t="inlineStr">
        <is>
          <t>Builder Step 2 — Strategy Flow Canvas</t>
        </is>
      </c>
      <c r="E62" t="inlineStr">
        <is>
          <t>P1</t>
        </is>
      </c>
      <c r="F62" t="inlineStr">
        <is>
          <t>Edit condition text/title in inspector.</t>
        </is>
      </c>
      <c r="G62" t="inlineStr">
        <is>
          <t>Canvas label updates.</t>
        </is>
      </c>
      <c r="H62" t="inlineStr">
        <is>
          <t>— Not tested</t>
        </is>
      </c>
      <c r="I62" t="inlineStr">
        <is>
          <t>— Not tested</t>
        </is>
      </c>
      <c r="J62" t="inlineStr">
        <is>
          <t>— Not tested</t>
        </is>
      </c>
    </row>
    <row r="63">
      <c r="A63" t="n">
        <v>62</v>
      </c>
      <c r="B63" t="inlineStr">
        <is>
          <t>1 — Strategies</t>
        </is>
      </c>
      <c r="C63" t="n">
        <v>7</v>
      </c>
      <c r="D63" t="inlineStr">
        <is>
          <t>Builder Step 2 — Strategy Flow Canvas</t>
        </is>
      </c>
      <c r="E63" t="inlineStr">
        <is>
          <t>P2</t>
        </is>
      </c>
      <c r="F63" t="inlineStr">
        <is>
          <t>Collapse/expand **minimap** if toggle exists.</t>
        </is>
      </c>
      <c r="G63" t="inlineStr">
        <is>
          <t>Minimap hides/shows.</t>
        </is>
      </c>
      <c r="H63" t="inlineStr">
        <is>
          <t>— Not tested</t>
        </is>
      </c>
      <c r="I63" t="inlineStr">
        <is>
          <t>— Not tested</t>
        </is>
      </c>
      <c r="J63" t="inlineStr">
        <is>
          <t>— Not tested</t>
        </is>
      </c>
    </row>
    <row r="64">
      <c r="A64" t="n">
        <v>63</v>
      </c>
      <c r="B64" t="inlineStr">
        <is>
          <t>1 — Strategies</t>
        </is>
      </c>
      <c r="C64" t="n">
        <v>7</v>
      </c>
      <c r="D64" t="inlineStr">
        <is>
          <t>Builder Step 2 — Strategy Flow Canvas</t>
        </is>
      </c>
      <c r="E64" t="inlineStr">
        <is>
          <t>P2</t>
        </is>
      </c>
      <c r="F64" t="inlineStr">
        <is>
          <t>Collapse **palette** or **inspector** if toggles exist.</t>
        </is>
      </c>
      <c r="G64" t="inlineStr">
        <is>
          <t>Panels collapse without breaking canvas.</t>
        </is>
      </c>
      <c r="H64" t="inlineStr">
        <is>
          <t>— Not tested</t>
        </is>
      </c>
      <c r="I64" t="inlineStr">
        <is>
          <t>— Not tested</t>
        </is>
      </c>
      <c r="J64" t="inlineStr">
        <is>
          <t>— Not tested</t>
        </is>
      </c>
    </row>
    <row r="65">
      <c r="A65" t="n">
        <v>64</v>
      </c>
      <c r="B65" t="inlineStr">
        <is>
          <t>1 — Strategies</t>
        </is>
      </c>
      <c r="C65" t="n">
        <v>7</v>
      </c>
      <c r="D65" t="inlineStr">
        <is>
          <t>Builder Step 2 — Strategy Flow Canvas</t>
        </is>
      </c>
      <c r="E65" t="inlineStr">
        <is>
          <t>P2</t>
        </is>
      </c>
      <c r="F65" t="inlineStr">
        <is>
          <t>Use **undo** if available after adding nodes.</t>
        </is>
      </c>
      <c r="G65" t="inlineStr">
        <is>
          <t>Last action reverses.</t>
        </is>
      </c>
      <c r="H65" t="inlineStr">
        <is>
          <t>— Not tested</t>
        </is>
      </c>
      <c r="I65" t="inlineStr">
        <is>
          <t>— Not tested</t>
        </is>
      </c>
      <c r="J65" t="inlineStr">
        <is>
          <t>— Not tested</t>
        </is>
      </c>
    </row>
    <row r="66">
      <c r="A66" t="n">
        <v>65</v>
      </c>
      <c r="B66" t="inlineStr">
        <is>
          <t>1 — Strategies</t>
        </is>
      </c>
      <c r="C66" t="n">
        <v>7</v>
      </c>
      <c r="D66" t="inlineStr">
        <is>
          <t>Builder Step 2 — Strategy Flow Canvas</t>
        </is>
      </c>
      <c r="E66" t="inlineStr">
        <is>
          <t>P2</t>
        </is>
      </c>
      <c r="F66" t="inlineStr">
        <is>
          <t>Use **print/export flow** if toolbar button exists.</t>
        </is>
      </c>
      <c r="G66" t="inlineStr">
        <is>
          <t>Print preview or export opens.</t>
        </is>
      </c>
      <c r="H66" t="inlineStr">
        <is>
          <t>— Not tested</t>
        </is>
      </c>
      <c r="I66" t="inlineStr">
        <is>
          <t>— Not tested</t>
        </is>
      </c>
      <c r="J66" t="inlineStr">
        <is>
          <t>— Not tested</t>
        </is>
      </c>
    </row>
    <row r="67">
      <c r="A67" t="n">
        <v>66</v>
      </c>
      <c r="B67" t="inlineStr">
        <is>
          <t>1 — Strategies</t>
        </is>
      </c>
      <c r="C67" t="n">
        <v>7</v>
      </c>
      <c r="D67" t="inlineStr">
        <is>
          <t>Builder Step 2 — Strategy Flow Canvas</t>
        </is>
      </c>
      <c r="E67" t="inlineStr">
        <is>
          <t>P1</t>
        </is>
      </c>
      <c r="F67" t="inlineStr">
        <is>
          <t>Delete a node (keyboard Delete or context action).</t>
        </is>
      </c>
      <c r="G67" t="inlineStr">
        <is>
          <t>Node removed from canvas.</t>
        </is>
      </c>
      <c r="H67" t="inlineStr">
        <is>
          <t>— Not tested</t>
        </is>
      </c>
      <c r="I67" t="inlineStr">
        <is>
          <t>— Not tested</t>
        </is>
      </c>
      <c r="J67" t="inlineStr">
        <is>
          <t>— Not tested</t>
        </is>
      </c>
    </row>
    <row r="68">
      <c r="A68" t="n">
        <v>67</v>
      </c>
      <c r="B68" t="inlineStr">
        <is>
          <t>1 — Strategies</t>
        </is>
      </c>
      <c r="C68" t="n">
        <v>7</v>
      </c>
      <c r="D68" t="inlineStr">
        <is>
          <t>Builder Step 2 — Strategy Flow Canvas</t>
        </is>
      </c>
      <c r="E68" t="inlineStr">
        <is>
          <t>P0</t>
        </is>
      </c>
      <c r="F68" t="inlineStr">
        <is>
          <t>Click **Next** to Step 3.</t>
        </is>
      </c>
      <c r="G68" t="inlineStr">
        <is>
          <t>Flow data preserved.</t>
        </is>
      </c>
      <c r="H68" t="inlineStr">
        <is>
          <t>— Not tested</t>
        </is>
      </c>
      <c r="I68" t="inlineStr">
        <is>
          <t>— Not tested</t>
        </is>
      </c>
      <c r="J68" t="inlineStr">
        <is>
          <t>— Not tested</t>
        </is>
      </c>
    </row>
    <row r="69">
      <c r="A69" t="n">
        <v>68</v>
      </c>
      <c r="B69" t="inlineStr">
        <is>
          <t>1 — Strategies</t>
        </is>
      </c>
      <c r="C69" t="n">
        <v>8</v>
      </c>
      <c r="D69" t="inlineStr">
        <is>
          <t>Builder Step 3 — Trade Tags</t>
        </is>
      </c>
      <c r="E69" t="inlineStr">
        <is>
          <t>P0</t>
        </is>
      </c>
      <c r="F69" t="inlineStr">
        <is>
          <t>On Step 3, locate **Pre-trade tags** section.</t>
        </is>
      </c>
      <c r="G69" t="inlineStr">
        <is>
          <t>Pre-trade tag list/editor visible.</t>
        </is>
      </c>
      <c r="H69" t="inlineStr">
        <is>
          <t>— Not tested</t>
        </is>
      </c>
      <c r="I69" t="inlineStr">
        <is>
          <t>— Not tested</t>
        </is>
      </c>
      <c r="J69" t="inlineStr">
        <is>
          <t>— Not tested</t>
        </is>
      </c>
    </row>
    <row r="70">
      <c r="A70" t="n">
        <v>69</v>
      </c>
      <c r="B70" t="inlineStr">
        <is>
          <t>1 — Strategies</t>
        </is>
      </c>
      <c r="C70" t="n">
        <v>8</v>
      </c>
      <c r="D70" t="inlineStr">
        <is>
          <t>Builder Step 3 — Trade Tags</t>
        </is>
      </c>
      <c r="E70" t="inlineStr">
        <is>
          <t>P0</t>
        </is>
      </c>
      <c r="F70" t="inlineStr">
        <is>
          <t>Add a new **pre-trade tag** (name + type if applicable).</t>
        </is>
      </c>
      <c r="G70" t="inlineStr">
        <is>
          <t>Tag appears in list.</t>
        </is>
      </c>
      <c r="H70" t="inlineStr">
        <is>
          <t>— Not tested</t>
        </is>
      </c>
      <c r="I70" t="inlineStr">
        <is>
          <t>— Not tested</t>
        </is>
      </c>
      <c r="J70" t="inlineStr">
        <is>
          <t>— Not tested</t>
        </is>
      </c>
    </row>
    <row r="71">
      <c r="A71" t="n">
        <v>70</v>
      </c>
      <c r="B71" t="inlineStr">
        <is>
          <t>1 — Strategies</t>
        </is>
      </c>
      <c r="C71" t="n">
        <v>8</v>
      </c>
      <c r="D71" t="inlineStr">
        <is>
          <t>Builder Step 3 — Trade Tags</t>
        </is>
      </c>
      <c r="E71" t="inlineStr">
        <is>
          <t>P0</t>
        </is>
      </c>
      <c r="F71" t="inlineStr">
        <is>
          <t>Add **post-trade tag**.</t>
        </is>
      </c>
      <c r="G71" t="inlineStr">
        <is>
          <t>Post-trade tag appears.</t>
        </is>
      </c>
      <c r="H71" t="inlineStr">
        <is>
          <t>— Not tested</t>
        </is>
      </c>
      <c r="I71" t="inlineStr">
        <is>
          <t>— Not tested</t>
        </is>
      </c>
      <c r="J71" t="inlineStr">
        <is>
          <t>— Not tested</t>
        </is>
      </c>
    </row>
    <row r="72">
      <c r="A72" t="n">
        <v>71</v>
      </c>
      <c r="B72" t="inlineStr">
        <is>
          <t>1 — Strategies</t>
        </is>
      </c>
      <c r="C72" t="n">
        <v>8</v>
      </c>
      <c r="D72" t="inlineStr">
        <is>
          <t>Builder Step 3 — Trade Tags</t>
        </is>
      </c>
      <c r="E72" t="inlineStr">
        <is>
          <t>P2</t>
        </is>
      </c>
      <c r="F72" t="inlineStr">
        <is>
          <t>Add a **divider** between tag groups if supported.</t>
        </is>
      </c>
      <c r="G72" t="inlineStr">
        <is>
          <t>Divider renders in tag list.</t>
        </is>
      </c>
      <c r="H72" t="inlineStr">
        <is>
          <t>— Not tested</t>
        </is>
      </c>
      <c r="I72" t="inlineStr">
        <is>
          <t>— Not tested</t>
        </is>
      </c>
      <c r="J72" t="inlineStr">
        <is>
          <t>— Not tested</t>
        </is>
      </c>
    </row>
    <row r="73">
      <c r="A73" t="n">
        <v>72</v>
      </c>
      <c r="B73" t="inlineStr">
        <is>
          <t>1 — Strategies</t>
        </is>
      </c>
      <c r="C73" t="n">
        <v>8</v>
      </c>
      <c r="D73" t="inlineStr">
        <is>
          <t>Builder Step 3 — Trade Tags</t>
        </is>
      </c>
      <c r="E73" t="inlineStr">
        <is>
          <t>P1</t>
        </is>
      </c>
      <c r="F73" t="inlineStr">
        <is>
          <t>Edit an existing tag label.</t>
        </is>
      </c>
      <c r="G73" t="inlineStr">
        <is>
          <t>Change saves in UI.</t>
        </is>
      </c>
      <c r="H73" t="inlineStr">
        <is>
          <t>— Not tested</t>
        </is>
      </c>
      <c r="I73" t="inlineStr">
        <is>
          <t>— Not tested</t>
        </is>
      </c>
      <c r="J73" t="inlineStr">
        <is>
          <t>— Not tested</t>
        </is>
      </c>
    </row>
    <row r="74">
      <c r="A74" t="n">
        <v>73</v>
      </c>
      <c r="B74" t="inlineStr">
        <is>
          <t>1 — Strategies</t>
        </is>
      </c>
      <c r="C74" t="n">
        <v>8</v>
      </c>
      <c r="D74" t="inlineStr">
        <is>
          <t>Builder Step 3 — Trade Tags</t>
        </is>
      </c>
      <c r="E74" t="inlineStr">
        <is>
          <t>P1</t>
        </is>
      </c>
      <c r="F74" t="inlineStr">
        <is>
          <t>Delete a tag.</t>
        </is>
      </c>
      <c r="G74" t="inlineStr">
        <is>
          <t>Tag removed.</t>
        </is>
      </c>
      <c r="H74" t="inlineStr">
        <is>
          <t>— Not tested</t>
        </is>
      </c>
      <c r="I74" t="inlineStr">
        <is>
          <t>— Not tested</t>
        </is>
      </c>
      <c r="J74" t="inlineStr">
        <is>
          <t>— Not tested</t>
        </is>
      </c>
    </row>
    <row r="75">
      <c r="A75" t="n">
        <v>74</v>
      </c>
      <c r="B75" t="inlineStr">
        <is>
          <t>1 — Strategies</t>
        </is>
      </c>
      <c r="C75" t="n">
        <v>8</v>
      </c>
      <c r="D75" t="inlineStr">
        <is>
          <t>Builder Step 3 — Trade Tags</t>
        </is>
      </c>
      <c r="E75" t="inlineStr">
        <is>
          <t>P1</t>
        </is>
      </c>
      <c r="F75" t="inlineStr">
        <is>
          <t>Configure **variable types** for tags if options exist (checkbox, number, text).</t>
        </is>
      </c>
      <c r="G75" t="inlineStr">
        <is>
          <t>Variable type saves correctly.</t>
        </is>
      </c>
      <c r="H75" t="inlineStr">
        <is>
          <t>— Not tested</t>
        </is>
      </c>
      <c r="I75" t="inlineStr">
        <is>
          <t>— Not tested</t>
        </is>
      </c>
      <c r="J75" t="inlineStr">
        <is>
          <t>— Not tested</t>
        </is>
      </c>
    </row>
    <row r="76">
      <c r="A76" t="n">
        <v>75</v>
      </c>
      <c r="B76" t="inlineStr">
        <is>
          <t>1 — Strategies</t>
        </is>
      </c>
      <c r="C76" t="n">
        <v>8</v>
      </c>
      <c r="D76" t="inlineStr">
        <is>
          <t>Builder Step 3 — Trade Tags</t>
        </is>
      </c>
      <c r="E76" t="inlineStr">
        <is>
          <t>P0</t>
        </is>
      </c>
      <c r="F76" t="inlineStr">
        <is>
          <t>Click **Next** to Review.</t>
        </is>
      </c>
      <c r="G76" t="inlineStr">
        <is>
          <t>Tags preserved on Step 4.</t>
        </is>
      </c>
      <c r="H76" t="inlineStr">
        <is>
          <t>— Not tested</t>
        </is>
      </c>
      <c r="I76" t="inlineStr">
        <is>
          <t>— Not tested</t>
        </is>
      </c>
      <c r="J76" t="inlineStr">
        <is>
          <t>— Not tested</t>
        </is>
      </c>
    </row>
    <row r="77">
      <c r="A77" t="n">
        <v>76</v>
      </c>
      <c r="B77" t="inlineStr">
        <is>
          <t>1 — Strategies</t>
        </is>
      </c>
      <c r="C77" t="n">
        <v>9</v>
      </c>
      <c r="D77" t="inlineStr">
        <is>
          <t>Builder Step 4 — Review &amp; Save</t>
        </is>
      </c>
      <c r="E77" t="inlineStr">
        <is>
          <t>P0</t>
        </is>
      </c>
      <c r="F77" t="inlineStr">
        <is>
          <t>On Step 4, verify **General Info** summary block.</t>
        </is>
      </c>
      <c r="G77" t="inlineStr">
        <is>
          <t>Shows name, markets, timeframes, description.</t>
        </is>
      </c>
      <c r="H77" t="inlineStr">
        <is>
          <t>— Not tested</t>
        </is>
      </c>
      <c r="I77" t="inlineStr">
        <is>
          <t>— Not tested</t>
        </is>
      </c>
      <c r="J77" t="inlineStr">
        <is>
          <t>— Not tested</t>
        </is>
      </c>
    </row>
    <row r="78">
      <c r="A78" t="n">
        <v>77</v>
      </c>
      <c r="B78" t="inlineStr">
        <is>
          <t>1 — Strategies</t>
        </is>
      </c>
      <c r="C78" t="n">
        <v>9</v>
      </c>
      <c r="D78" t="inlineStr">
        <is>
          <t>Builder Step 4 — Review &amp; Save</t>
        </is>
      </c>
      <c r="E78" t="inlineStr">
        <is>
          <t>P0</t>
        </is>
      </c>
      <c r="F78" t="inlineStr">
        <is>
          <t>Verify **Strategy Flow** summary: group count, condition count.</t>
        </is>
      </c>
      <c r="G78" t="inlineStr">
        <is>
          <t>Counts match what you built in Step 2.</t>
        </is>
      </c>
      <c r="H78" t="inlineStr">
        <is>
          <t>— Not tested</t>
        </is>
      </c>
      <c r="I78" t="inlineStr">
        <is>
          <t>— Not tested</t>
        </is>
      </c>
      <c r="J78" t="inlineStr">
        <is>
          <t>— Not tested</t>
        </is>
      </c>
    </row>
    <row r="79">
      <c r="A79" t="n">
        <v>78</v>
      </c>
      <c r="B79" t="inlineStr">
        <is>
          <t>1 — Strategies</t>
        </is>
      </c>
      <c r="C79" t="n">
        <v>9</v>
      </c>
      <c r="D79" t="inlineStr">
        <is>
          <t>Builder Step 4 — Review &amp; Save</t>
        </is>
      </c>
      <c r="E79" t="inlineStr">
        <is>
          <t>P1</t>
        </is>
      </c>
      <c r="F79" t="inlineStr">
        <is>
          <t>Verify **Trade Tags** summary.</t>
        </is>
      </c>
      <c r="G79" t="inlineStr">
        <is>
          <t>Pre/post tags listed.</t>
        </is>
      </c>
      <c r="H79" t="inlineStr">
        <is>
          <t>— Not tested</t>
        </is>
      </c>
      <c r="I79" t="inlineStr">
        <is>
          <t>— Not tested</t>
        </is>
      </c>
      <c r="J79" t="inlineStr">
        <is>
          <t>— Not tested</t>
        </is>
      </c>
    </row>
    <row r="80">
      <c r="A80" t="n">
        <v>79</v>
      </c>
      <c r="B80" t="inlineStr">
        <is>
          <t>1 — Strategies</t>
        </is>
      </c>
      <c r="C80" t="n">
        <v>9</v>
      </c>
      <c r="D80" t="inlineStr">
        <is>
          <t>Builder Step 4 — Review &amp; Save</t>
        </is>
      </c>
      <c r="E80" t="inlineStr">
        <is>
          <t>P1</t>
        </is>
      </c>
      <c r="F80" t="inlineStr">
        <is>
          <t>Check **readiness checklist** items (green/red).</t>
        </is>
      </c>
      <c r="G80" t="inlineStr">
        <is>
          <t>Incomplete items flagged.</t>
        </is>
      </c>
      <c r="H80" t="inlineStr">
        <is>
          <t>— Not tested</t>
        </is>
      </c>
      <c r="I80" t="inlineStr">
        <is>
          <t>— Not tested</t>
        </is>
      </c>
      <c r="J80" t="inlineStr">
        <is>
          <t>— Not tested</t>
        </is>
      </c>
    </row>
    <row r="81">
      <c r="A81" t="n">
        <v>80</v>
      </c>
      <c r="B81" t="inlineStr">
        <is>
          <t>1 — Strategies</t>
        </is>
      </c>
      <c r="C81" t="n">
        <v>9</v>
      </c>
      <c r="D81" t="inlineStr">
        <is>
          <t>Builder Step 4 — Review &amp; Save</t>
        </is>
      </c>
      <c r="E81" t="inlineStr">
        <is>
          <t>P2</t>
        </is>
      </c>
      <c r="F81" t="inlineStr">
        <is>
          <t>Check **linked backtest sessions** section if strategy has sessions.</t>
        </is>
      </c>
      <c r="G81" t="inlineStr">
        <is>
          <t>Sessions listed or empty state shown.</t>
        </is>
      </c>
      <c r="H81" t="inlineStr">
        <is>
          <t>— Not tested</t>
        </is>
      </c>
      <c r="I81" t="inlineStr">
        <is>
          <t>— Not tested</t>
        </is>
      </c>
      <c r="J81" t="inlineStr">
        <is>
          <t>— Not tested</t>
        </is>
      </c>
    </row>
    <row r="82">
      <c r="A82" t="n">
        <v>81</v>
      </c>
      <c r="B82" t="inlineStr">
        <is>
          <t>1 — Strategies</t>
        </is>
      </c>
      <c r="C82" t="n">
        <v>9</v>
      </c>
      <c r="D82" t="inlineStr">
        <is>
          <t>Builder Step 4 — Review &amp; Save</t>
        </is>
      </c>
      <c r="E82" t="inlineStr">
        <is>
          <t>P0</t>
        </is>
      </c>
      <c r="F82" t="inlineStr">
        <is>
          <t>Click **Save Strategy** with valid name.</t>
        </is>
      </c>
      <c r="G82" t="inlineStr">
        <is>
          <t>Saves successfully; modal closes; strategy appears in My Strategies.</t>
        </is>
      </c>
      <c r="H82" t="inlineStr">
        <is>
          <t>— Not tested</t>
        </is>
      </c>
      <c r="I82" t="inlineStr">
        <is>
          <t>— Not tested</t>
        </is>
      </c>
      <c r="J82" t="inlineStr">
        <is>
          <t>— Not tested</t>
        </is>
      </c>
    </row>
    <row r="83">
      <c r="A83" t="n">
        <v>82</v>
      </c>
      <c r="B83" t="inlineStr">
        <is>
          <t>1 — Strategies</t>
        </is>
      </c>
      <c r="C83" t="n">
        <v>9</v>
      </c>
      <c r="D83" t="inlineStr">
        <is>
          <t>Builder Step 4 — Review &amp; Save</t>
        </is>
      </c>
      <c r="E83" t="inlineStr">
        <is>
          <t>P0</t>
        </is>
      </c>
      <c r="F83" t="inlineStr">
        <is>
          <t>Re-open saved strategy — verify all 4 steps retain data.</t>
        </is>
      </c>
      <c r="G83" t="inlineStr">
        <is>
          <t>Full round-trip persistence.</t>
        </is>
      </c>
      <c r="H83" t="inlineStr">
        <is>
          <t>— Not tested</t>
        </is>
      </c>
      <c r="I83" t="inlineStr">
        <is>
          <t>— Not tested</t>
        </is>
      </c>
      <c r="J83" t="inlineStr">
        <is>
          <t>— Not tested</t>
        </is>
      </c>
    </row>
    <row r="84">
      <c r="A84" t="n">
        <v>83</v>
      </c>
      <c r="B84" t="inlineStr">
        <is>
          <t>1 — Strategies</t>
        </is>
      </c>
      <c r="C84" t="n">
        <v>9</v>
      </c>
      <c r="D84" t="inlineStr">
        <is>
          <t>Builder Step 4 — Review &amp; Save</t>
        </is>
      </c>
      <c r="E84" t="inlineStr">
        <is>
          <t>P1</t>
        </is>
      </c>
      <c r="F84" t="inlineStr">
        <is>
          <t>Try Save with empty name (if reachable).</t>
        </is>
      </c>
      <c r="G84" t="inlineStr">
        <is>
          <t>Save button disabled or error shown.</t>
        </is>
      </c>
      <c r="H84" t="inlineStr">
        <is>
          <t>— Not tested</t>
        </is>
      </c>
      <c r="I84" t="inlineStr">
        <is>
          <t>— Not tested</t>
        </is>
      </c>
      <c r="J84" t="inlineStr">
        <is>
          <t>— Not tested</t>
        </is>
      </c>
    </row>
    <row r="85">
      <c r="A85" t="n">
        <v>84</v>
      </c>
      <c r="B85" t="inlineStr">
        <is>
          <t>1 — Strategies</t>
        </is>
      </c>
      <c r="C85" t="n">
        <v>9</v>
      </c>
      <c r="D85" t="inlineStr">
        <is>
          <t>Builder Step 4 — Review &amp; Save</t>
        </is>
      </c>
      <c r="E85" t="inlineStr">
        <is>
          <t>P2</t>
        </is>
      </c>
      <c r="F85" t="inlineStr">
        <is>
          <t>If save fails (network), verify error message displays.</t>
        </is>
      </c>
      <c r="G85" t="inlineStr">
        <is>
          <t>saveError text visible; data not lost.</t>
        </is>
      </c>
      <c r="H85" t="inlineStr">
        <is>
          <t>— Not tested</t>
        </is>
      </c>
      <c r="I85" t="inlineStr">
        <is>
          <t>— Not tested</t>
        </is>
      </c>
      <c r="J85" t="inlineStr">
        <is>
          <t>— Not tested</t>
        </is>
      </c>
    </row>
  </sheetData>
  <dataValidations count="2">
    <dataValidation sqref="H2:I85" showDropDown="0" showInputMessage="0" showErrorMessage="0" allowBlank="1" type="list">
      <formula1>"☑ Pass,☐ Fail,⚠ Partial,— Not tested"</formula1>
    </dataValidation>
    <dataValidation sqref="J2:J85" showDropDown="0" showInputMessage="0" showErrorMessage="0" allowBlank="1" type="list">
      <formula1>"☑ Yes,☐ No,— Not tested"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" customWidth="1" min="3" max="3"/>
    <col width="28" customWidth="1" min="4" max="4"/>
    <col width="8" customWidth="1" min="5" max="5"/>
    <col width="52" customWidth="1" min="6" max="6"/>
    <col width="40" customWidth="1" min="7" max="7"/>
    <col width="14" customWidth="1" min="8" max="8"/>
    <col width="14" customWidth="1" min="9" max="9"/>
    <col width="10" customWidth="1" min="10" max="10"/>
    <col width="36" customWidth="1" min="11" max="11"/>
    <col width="12" customWidth="1" min="12" max="12"/>
  </cols>
  <sheetData>
    <row r="1">
      <c r="A1" s="12" t="inlineStr">
        <is>
          <t>Step #</t>
        </is>
      </c>
      <c r="B1" s="12" t="inlineStr">
        <is>
          <t>Section</t>
        </is>
      </c>
      <c r="C1" s="12" t="inlineStr">
        <is>
          <t>Phase</t>
        </is>
      </c>
      <c r="D1" s="12" t="inlineStr">
        <is>
          <t>Phase Name</t>
        </is>
      </c>
      <c r="E1" s="12" t="inlineStr">
        <is>
          <t>Priority</t>
        </is>
      </c>
      <c r="F1" s="12" t="inlineStr">
        <is>
          <t>What to Do</t>
        </is>
      </c>
      <c r="G1" s="12" t="inlineStr">
        <is>
          <t>Expected Result</t>
        </is>
      </c>
      <c r="H1" s="12" t="inlineStr">
        <is>
          <t>Tester A</t>
        </is>
      </c>
      <c r="I1" s="12" t="inlineStr">
        <is>
          <t>Tester B</t>
        </is>
      </c>
      <c r="J1" s="12" t="inlineStr">
        <is>
          <t>Issue?</t>
        </is>
      </c>
      <c r="K1" s="12" t="inlineStr">
        <is>
          <t>Comments</t>
        </is>
      </c>
      <c r="L1" s="12" t="inlineStr">
        <is>
          <t>Date</t>
        </is>
      </c>
    </row>
    <row r="2">
      <c r="A2" t="n">
        <v>85</v>
      </c>
      <c r="B2" t="inlineStr">
        <is>
          <t>2 — Sessions</t>
        </is>
      </c>
      <c r="C2" t="n">
        <v>10</v>
      </c>
      <c r="D2" t="inlineStr">
        <is>
          <t>Navigate to Sessions Page</t>
        </is>
      </c>
      <c r="E2" t="inlineStr">
        <is>
          <t>P0</t>
        </is>
      </c>
      <c r="F2" t="inlineStr">
        <is>
          <t>Click **Backtest** in left navigation.</t>
        </is>
      </c>
      <c r="G2" t="inlineStr">
        <is>
          <t>Backtesting Sessions page opens.</t>
        </is>
      </c>
      <c r="H2" t="inlineStr">
        <is>
          <t>— Not tested</t>
        </is>
      </c>
      <c r="I2" t="inlineStr">
        <is>
          <t>— Not tested</t>
        </is>
      </c>
      <c r="J2" t="inlineStr">
        <is>
          <t>— Not tested</t>
        </is>
      </c>
    </row>
    <row r="3">
      <c r="A3" t="n">
        <v>86</v>
      </c>
      <c r="B3" t="inlineStr">
        <is>
          <t>2 — Sessions</t>
        </is>
      </c>
      <c r="C3" t="n">
        <v>10</v>
      </c>
      <c r="D3" t="inlineStr">
        <is>
          <t>Navigate to Sessions Page</t>
        </is>
      </c>
      <c r="E3" t="inlineStr">
        <is>
          <t>P1</t>
        </is>
      </c>
      <c r="F3" t="inlineStr">
        <is>
          <t>Verify header: logo, “Talaria-Log”, subtitle “Backtesting Sessions”.</t>
        </is>
      </c>
      <c r="G3" t="inlineStr">
        <is>
          <t>Header renders correctly.</t>
        </is>
      </c>
      <c r="H3" t="inlineStr">
        <is>
          <t>— Not tested</t>
        </is>
      </c>
      <c r="I3" t="inlineStr">
        <is>
          <t>— Not tested</t>
        </is>
      </c>
      <c r="J3" t="inlineStr">
        <is>
          <t>— Not tested</t>
        </is>
      </c>
    </row>
    <row r="4">
      <c r="A4" t="n">
        <v>87</v>
      </c>
      <c r="B4" t="inlineStr">
        <is>
          <t>2 — Sessions</t>
        </is>
      </c>
      <c r="C4" t="n">
        <v>10</v>
      </c>
      <c r="D4" t="inlineStr">
        <is>
          <t>Navigate to Sessions Page</t>
        </is>
      </c>
      <c r="E4" t="inlineStr">
        <is>
          <t>P0</t>
        </is>
      </c>
      <c r="F4" t="inlineStr">
        <is>
          <t>Locate **New Session** button (top right, blue).</t>
        </is>
      </c>
      <c r="G4" t="inlineStr">
        <is>
          <t>Button visible.</t>
        </is>
      </c>
      <c r="H4" t="inlineStr">
        <is>
          <t>— Not tested</t>
        </is>
      </c>
      <c r="I4" t="inlineStr">
        <is>
          <t>— Not tested</t>
        </is>
      </c>
      <c r="J4" t="inlineStr">
        <is>
          <t>— Not tested</t>
        </is>
      </c>
    </row>
    <row r="5">
      <c r="A5" t="n">
        <v>88</v>
      </c>
      <c r="B5" t="inlineStr">
        <is>
          <t>2 — Sessions</t>
        </is>
      </c>
      <c r="C5" t="n">
        <v>11</v>
      </c>
      <c r="D5" t="inlineStr">
        <is>
          <t>Sessions — Stats Dashboard</t>
        </is>
      </c>
      <c r="E5" t="inlineStr">
        <is>
          <t>P1</t>
        </is>
      </c>
      <c r="F5" t="inlineStr">
        <is>
          <t>Review **Sessions &amp; Mode** tile: Standard, Prop Firm, Journal counts.</t>
        </is>
      </c>
      <c r="G5" t="inlineStr">
        <is>
          <t>Counts match your session list.</t>
        </is>
      </c>
      <c r="H5" t="inlineStr">
        <is>
          <t>— Not tested</t>
        </is>
      </c>
      <c r="I5" t="inlineStr">
        <is>
          <t>— Not tested</t>
        </is>
      </c>
      <c r="J5" t="inlineStr">
        <is>
          <t>— Not tested</t>
        </is>
      </c>
    </row>
    <row r="6">
      <c r="A6" t="n">
        <v>89</v>
      </c>
      <c r="B6" t="inlineStr">
        <is>
          <t>2 — Sessions</t>
        </is>
      </c>
      <c r="C6" t="n">
        <v>11</v>
      </c>
      <c r="D6" t="inlineStr">
        <is>
          <t>Sessions — Stats Dashboard</t>
        </is>
      </c>
      <c r="E6" t="inlineStr">
        <is>
          <t>P1</t>
        </is>
      </c>
      <c r="F6" t="inlineStr">
        <is>
          <t>Review **Total Trades** bar chart; hover a bar.</t>
        </is>
      </c>
      <c r="G6" t="inlineStr">
        <is>
          <t>Tooltip shows session name, trades, mode, strategy.</t>
        </is>
      </c>
      <c r="H6" t="inlineStr">
        <is>
          <t>— Not tested</t>
        </is>
      </c>
      <c r="I6" t="inlineStr">
        <is>
          <t>— Not tested</t>
        </is>
      </c>
      <c r="J6" t="inlineStr">
        <is>
          <t>— Not tested</t>
        </is>
      </c>
    </row>
    <row r="7">
      <c r="A7" t="n">
        <v>90</v>
      </c>
      <c r="B7" t="inlineStr">
        <is>
          <t>2 — Sessions</t>
        </is>
      </c>
      <c r="C7" t="n">
        <v>11</v>
      </c>
      <c r="D7" t="inlineStr">
        <is>
          <t>Sessions — Stats Dashboard</t>
        </is>
      </c>
      <c r="E7" t="inlineStr">
        <is>
          <t>P2</t>
        </is>
      </c>
      <c r="F7" t="inlineStr">
        <is>
          <t>Review **Profitable Sessions %** arc/chart.</t>
        </is>
      </c>
      <c r="G7" t="inlineStr">
        <is>
          <t>Percentage calculates from sessions with P&amp;L.</t>
        </is>
      </c>
      <c r="H7" t="inlineStr">
        <is>
          <t>— Not tested</t>
        </is>
      </c>
      <c r="I7" t="inlineStr">
        <is>
          <t>— Not tested</t>
        </is>
      </c>
      <c r="J7" t="inlineStr">
        <is>
          <t>— Not tested</t>
        </is>
      </c>
    </row>
    <row r="8">
      <c r="A8" t="n">
        <v>91</v>
      </c>
      <c r="B8" t="inlineStr">
        <is>
          <t>2 — Sessions</t>
        </is>
      </c>
      <c r="C8" t="n">
        <v>11</v>
      </c>
      <c r="D8" t="inlineStr">
        <is>
          <t>Sessions — Stats Dashboard</t>
        </is>
      </c>
      <c r="E8" t="inlineStr">
        <is>
          <t>P2</t>
        </is>
      </c>
      <c r="F8" t="inlineStr">
        <is>
          <t>Review **Days Tested** metric.</t>
        </is>
      </c>
      <c r="G8" t="inlineStr">
        <is>
          <t>Reasonable total days across sessions.</t>
        </is>
      </c>
      <c r="H8" t="inlineStr">
        <is>
          <t>— Not tested</t>
        </is>
      </c>
      <c r="I8" t="inlineStr">
        <is>
          <t>— Not tested</t>
        </is>
      </c>
      <c r="J8" t="inlineStr">
        <is>
          <t>— Not tested</t>
        </is>
      </c>
    </row>
    <row r="9">
      <c r="A9" t="n">
        <v>92</v>
      </c>
      <c r="B9" t="inlineStr">
        <is>
          <t>2 — Sessions</t>
        </is>
      </c>
      <c r="C9" t="n">
        <v>11</v>
      </c>
      <c r="D9" t="inlineStr">
        <is>
          <t>Sessions — Stats Dashboard</t>
        </is>
      </c>
      <c r="E9" t="inlineStr">
        <is>
          <t>P2</t>
        </is>
      </c>
      <c r="F9" t="inlineStr">
        <is>
          <t>Review **Tickers Tested** metric.</t>
        </is>
      </c>
      <c r="G9" t="inlineStr">
        <is>
          <t>Unique ticker count displayed.</t>
        </is>
      </c>
      <c r="H9" t="inlineStr">
        <is>
          <t>— Not tested</t>
        </is>
      </c>
      <c r="I9" t="inlineStr">
        <is>
          <t>— Not tested</t>
        </is>
      </c>
      <c r="J9" t="inlineStr">
        <is>
          <t>— Not tested</t>
        </is>
      </c>
    </row>
    <row r="10">
      <c r="A10" t="n">
        <v>93</v>
      </c>
      <c r="B10" t="inlineStr">
        <is>
          <t>2 — Sessions</t>
        </is>
      </c>
      <c r="C10" t="n">
        <v>12</v>
      </c>
      <c r="D10" t="inlineStr">
        <is>
          <t>Sessions — Filters, Search, Sort</t>
        </is>
      </c>
      <c r="E10" t="inlineStr">
        <is>
          <t>P0</t>
        </is>
      </c>
      <c r="F10" t="inlineStr">
        <is>
          <t>Click filter tab **All**.</t>
        </is>
      </c>
      <c r="G10" t="inlineStr">
        <is>
          <t>Shows every session; badge count correct.</t>
        </is>
      </c>
      <c r="H10" t="inlineStr">
        <is>
          <t>— Not tested</t>
        </is>
      </c>
      <c r="I10" t="inlineStr">
        <is>
          <t>— Not tested</t>
        </is>
      </c>
      <c r="J10" t="inlineStr">
        <is>
          <t>— Not tested</t>
        </is>
      </c>
    </row>
    <row r="11">
      <c r="A11" t="n">
        <v>94</v>
      </c>
      <c r="B11" t="inlineStr">
        <is>
          <t>2 — Sessions</t>
        </is>
      </c>
      <c r="C11" t="n">
        <v>12</v>
      </c>
      <c r="D11" t="inlineStr">
        <is>
          <t>Sessions — Filters, Search, Sort</t>
        </is>
      </c>
      <c r="E11" t="inlineStr">
        <is>
          <t>P1</t>
        </is>
      </c>
      <c r="F11" t="inlineStr">
        <is>
          <t>Click **Not Started**.</t>
        </is>
      </c>
      <c r="G11" t="inlineStr">
        <is>
          <t>Only progress=0 sessions shown.</t>
        </is>
      </c>
      <c r="H11" t="inlineStr">
        <is>
          <t>— Not tested</t>
        </is>
      </c>
      <c r="I11" t="inlineStr">
        <is>
          <t>— Not tested</t>
        </is>
      </c>
      <c r="J11" t="inlineStr">
        <is>
          <t>— Not tested</t>
        </is>
      </c>
    </row>
    <row r="12">
      <c r="A12" t="n">
        <v>95</v>
      </c>
      <c r="B12" t="inlineStr">
        <is>
          <t>2 — Sessions</t>
        </is>
      </c>
      <c r="C12" t="n">
        <v>12</v>
      </c>
      <c r="D12" t="inlineStr">
        <is>
          <t>Sessions — Filters, Search, Sort</t>
        </is>
      </c>
      <c r="E12" t="inlineStr">
        <is>
          <t>P1</t>
        </is>
      </c>
      <c r="F12" t="inlineStr">
        <is>
          <t>Click **Active**.</t>
        </is>
      </c>
      <c r="G12" t="inlineStr">
        <is>
          <t>Only in-progress sessions shown.</t>
        </is>
      </c>
      <c r="H12" t="inlineStr">
        <is>
          <t>— Not tested</t>
        </is>
      </c>
      <c r="I12" t="inlineStr">
        <is>
          <t>— Not tested</t>
        </is>
      </c>
      <c r="J12" t="inlineStr">
        <is>
          <t>— Not tested</t>
        </is>
      </c>
    </row>
    <row r="13">
      <c r="A13" t="n">
        <v>96</v>
      </c>
      <c r="B13" t="inlineStr">
        <is>
          <t>2 — Sessions</t>
        </is>
      </c>
      <c r="C13" t="n">
        <v>12</v>
      </c>
      <c r="D13" t="inlineStr">
        <is>
          <t>Sessions — Filters, Search, Sort</t>
        </is>
      </c>
      <c r="E13" t="inlineStr">
        <is>
          <t>P1</t>
        </is>
      </c>
      <c r="F13" t="inlineStr">
        <is>
          <t>Click **Completed**.</t>
        </is>
      </c>
      <c r="G13" t="inlineStr">
        <is>
          <t>Only finished sessions shown.</t>
        </is>
      </c>
      <c r="H13" t="inlineStr">
        <is>
          <t>— Not tested</t>
        </is>
      </c>
      <c r="I13" t="inlineStr">
        <is>
          <t>— Not tested</t>
        </is>
      </c>
      <c r="J13" t="inlineStr">
        <is>
          <t>— Not tested</t>
        </is>
      </c>
    </row>
    <row r="14">
      <c r="A14" t="n">
        <v>97</v>
      </c>
      <c r="B14" t="inlineStr">
        <is>
          <t>2 — Sessions</t>
        </is>
      </c>
      <c r="C14" t="n">
        <v>12</v>
      </c>
      <c r="D14" t="inlineStr">
        <is>
          <t>Sessions — Filters, Search, Sort</t>
        </is>
      </c>
      <c r="E14" t="inlineStr">
        <is>
          <t>P1</t>
        </is>
      </c>
      <c r="F14" t="inlineStr">
        <is>
          <t>Click **Standard**.</t>
        </is>
      </c>
      <c r="G14" t="inlineStr">
        <is>
          <t>Only standard backtest sessions.</t>
        </is>
      </c>
      <c r="H14" t="inlineStr">
        <is>
          <t>— Not tested</t>
        </is>
      </c>
      <c r="I14" t="inlineStr">
        <is>
          <t>— Not tested</t>
        </is>
      </c>
      <c r="J14" t="inlineStr">
        <is>
          <t>— Not tested</t>
        </is>
      </c>
    </row>
    <row r="15">
      <c r="A15" t="n">
        <v>98</v>
      </c>
      <c r="B15" t="inlineStr">
        <is>
          <t>2 — Sessions</t>
        </is>
      </c>
      <c r="C15" t="n">
        <v>12</v>
      </c>
      <c r="D15" t="inlineStr">
        <is>
          <t>Sessions — Filters, Search, Sort</t>
        </is>
      </c>
      <c r="E15" t="inlineStr">
        <is>
          <t>P1</t>
        </is>
      </c>
      <c r="F15" t="inlineStr">
        <is>
          <t>Click **Prop Firm**.</t>
        </is>
      </c>
      <c r="G15" t="inlineStr">
        <is>
          <t>Only prop mode sessions.</t>
        </is>
      </c>
      <c r="H15" t="inlineStr">
        <is>
          <t>— Not tested</t>
        </is>
      </c>
      <c r="I15" t="inlineStr">
        <is>
          <t>— Not tested</t>
        </is>
      </c>
      <c r="J15" t="inlineStr">
        <is>
          <t>— Not tested</t>
        </is>
      </c>
    </row>
    <row r="16">
      <c r="A16" t="n">
        <v>99</v>
      </c>
      <c r="B16" t="inlineStr">
        <is>
          <t>2 — Sessions</t>
        </is>
      </c>
      <c r="C16" t="n">
        <v>12</v>
      </c>
      <c r="D16" t="inlineStr">
        <is>
          <t>Sessions — Filters, Search, Sort</t>
        </is>
      </c>
      <c r="E16" t="inlineStr">
        <is>
          <t>P1</t>
        </is>
      </c>
      <c r="F16" t="inlineStr">
        <is>
          <t>Click **Journal**.</t>
        </is>
      </c>
      <c r="G16" t="inlineStr">
        <is>
          <t>Only journal sessions shown.</t>
        </is>
      </c>
      <c r="H16" t="inlineStr">
        <is>
          <t>— Not tested</t>
        </is>
      </c>
      <c r="I16" t="inlineStr">
        <is>
          <t>— Not tested</t>
        </is>
      </c>
      <c r="J16" t="inlineStr">
        <is>
          <t>— Not tested</t>
        </is>
      </c>
    </row>
    <row r="17">
      <c r="A17" t="n">
        <v>100</v>
      </c>
      <c r="B17" t="inlineStr">
        <is>
          <t>2 — Sessions</t>
        </is>
      </c>
      <c r="C17" t="n">
        <v>12</v>
      </c>
      <c r="D17" t="inlineStr">
        <is>
          <t>Sessions — Filters, Search, Sort</t>
        </is>
      </c>
      <c r="E17" t="inlineStr">
        <is>
          <t>P1</t>
        </is>
      </c>
      <c r="F17" t="inlineStr">
        <is>
          <t>Toggle **Cards** vs **Rows** layout.</t>
        </is>
      </c>
      <c r="G17" t="inlineStr">
        <is>
          <t>Layout switches; data consistent.</t>
        </is>
      </c>
      <c r="H17" t="inlineStr">
        <is>
          <t>— Not tested</t>
        </is>
      </c>
      <c r="I17" t="inlineStr">
        <is>
          <t>— Not tested</t>
        </is>
      </c>
      <c r="J17" t="inlineStr">
        <is>
          <t>— Not tested</t>
        </is>
      </c>
    </row>
    <row r="18">
      <c r="A18" t="n">
        <v>101</v>
      </c>
      <c r="B18" t="inlineStr">
        <is>
          <t>2 — Sessions</t>
        </is>
      </c>
      <c r="C18" t="n">
        <v>12</v>
      </c>
      <c r="D18" t="inlineStr">
        <is>
          <t>Sessions — Filters, Search, Sort</t>
        </is>
      </c>
      <c r="E18" t="inlineStr">
        <is>
          <t>P1</t>
        </is>
      </c>
      <c r="F18" t="inlineStr">
        <is>
          <t>In Cards view: change **sort** dropdown (Name, Strategy, Date Range, Balance, Net P&amp;L, Win Rate, Avg R:R, Trades, Progress).</t>
        </is>
      </c>
      <c r="G18" t="inlineStr">
        <is>
          <t>List re-orders correctly.</t>
        </is>
      </c>
      <c r="H18" t="inlineStr">
        <is>
          <t>— Not tested</t>
        </is>
      </c>
      <c r="I18" t="inlineStr">
        <is>
          <t>— Not tested</t>
        </is>
      </c>
      <c r="J18" t="inlineStr">
        <is>
          <t>— Not tested</t>
        </is>
      </c>
    </row>
    <row r="19">
      <c r="A19" t="n">
        <v>102</v>
      </c>
      <c r="B19" t="inlineStr">
        <is>
          <t>2 — Sessions</t>
        </is>
      </c>
      <c r="C19" t="n">
        <v>12</v>
      </c>
      <c r="D19" t="inlineStr">
        <is>
          <t>Sessions — Filters, Search, Sort</t>
        </is>
      </c>
      <c r="E19" t="inlineStr">
        <is>
          <t>P1</t>
        </is>
      </c>
      <c r="F19" t="inlineStr">
        <is>
          <t>Toggle sort **ascending/descending**.</t>
        </is>
      </c>
      <c r="G19" t="inlineStr">
        <is>
          <t>Order reverses.</t>
        </is>
      </c>
      <c r="H19" t="inlineStr">
        <is>
          <t>— Not tested</t>
        </is>
      </c>
      <c r="I19" t="inlineStr">
        <is>
          <t>— Not tested</t>
        </is>
      </c>
      <c r="J19" t="inlineStr">
        <is>
          <t>— Not tested</t>
        </is>
      </c>
    </row>
    <row r="20">
      <c r="A20" t="n">
        <v>103</v>
      </c>
      <c r="B20" t="inlineStr">
        <is>
          <t>2 — Sessions</t>
        </is>
      </c>
      <c r="C20" t="n">
        <v>12</v>
      </c>
      <c r="D20" t="inlineStr">
        <is>
          <t>Sessions — Filters, Search, Sort</t>
        </is>
      </c>
      <c r="E20" t="inlineStr">
        <is>
          <t>P1</t>
        </is>
      </c>
      <c r="F20" t="inlineStr">
        <is>
          <t>In Rows view: click column headers to sort.</t>
        </is>
      </c>
      <c r="G20" t="inlineStr">
        <is>
          <t>Column sort works.</t>
        </is>
      </c>
      <c r="H20" t="inlineStr">
        <is>
          <t>— Not tested</t>
        </is>
      </c>
      <c r="I20" t="inlineStr">
        <is>
          <t>— Not tested</t>
        </is>
      </c>
      <c r="J20" t="inlineStr">
        <is>
          <t>— Not tested</t>
        </is>
      </c>
    </row>
    <row r="21">
      <c r="A21" t="n">
        <v>104</v>
      </c>
      <c r="B21" t="inlineStr">
        <is>
          <t>2 — Sessions</t>
        </is>
      </c>
      <c r="C21" t="n">
        <v>12</v>
      </c>
      <c r="D21" t="inlineStr">
        <is>
          <t>Sessions — Filters, Search, Sort</t>
        </is>
      </c>
      <c r="E21" t="inlineStr">
        <is>
          <t>P1</t>
        </is>
      </c>
      <c r="F21" t="inlineStr">
        <is>
          <t>Type in **search** box (session name, strategy, ticker).</t>
        </is>
      </c>
      <c r="G21" t="inlineStr">
        <is>
          <t>List filters live.</t>
        </is>
      </c>
      <c r="H21" t="inlineStr">
        <is>
          <t>— Not tested</t>
        </is>
      </c>
      <c r="I21" t="inlineStr">
        <is>
          <t>— Not tested</t>
        </is>
      </c>
      <c r="J21" t="inlineStr">
        <is>
          <t>— Not tested</t>
        </is>
      </c>
    </row>
    <row r="22">
      <c r="A22" t="n">
        <v>105</v>
      </c>
      <c r="B22" t="inlineStr">
        <is>
          <t>2 — Sessions</t>
        </is>
      </c>
      <c r="C22" t="n">
        <v>12</v>
      </c>
      <c r="D22" t="inlineStr">
        <is>
          <t>Sessions — Filters, Search, Sort</t>
        </is>
      </c>
      <c r="E22" t="inlineStr">
        <is>
          <t>P2</t>
        </is>
      </c>
      <c r="F22" t="inlineStr">
        <is>
          <t>Press **Escape** in search.</t>
        </is>
      </c>
      <c r="G22" t="inlineStr">
        <is>
          <t>Search clears (if implemented).</t>
        </is>
      </c>
      <c r="H22" t="inlineStr">
        <is>
          <t>— Not tested</t>
        </is>
      </c>
      <c r="I22" t="inlineStr">
        <is>
          <t>— Not tested</t>
        </is>
      </c>
      <c r="J22" t="inlineStr">
        <is>
          <t>— Not tested</t>
        </is>
      </c>
    </row>
    <row r="23">
      <c r="A23" t="n">
        <v>106</v>
      </c>
      <c r="B23" t="inlineStr">
        <is>
          <t>2 — Sessions</t>
        </is>
      </c>
      <c r="C23" t="n">
        <v>12</v>
      </c>
      <c r="D23" t="inlineStr">
        <is>
          <t>Sessions — Filters, Search, Sort</t>
        </is>
      </c>
      <c r="E23" t="inlineStr">
        <is>
          <t>P2</t>
        </is>
      </c>
      <c r="F23" t="inlineStr">
        <is>
          <t>Empty search with no sessions: verify **Create New Session** CTA.</t>
        </is>
      </c>
      <c r="G23" t="inlineStr">
        <is>
          <t>Empty state displays.</t>
        </is>
      </c>
      <c r="H23" t="inlineStr">
        <is>
          <t>— Not tested</t>
        </is>
      </c>
      <c r="I23" t="inlineStr">
        <is>
          <t>— Not tested</t>
        </is>
      </c>
      <c r="J23" t="inlineStr">
        <is>
          <t>— Not tested</t>
        </is>
      </c>
    </row>
    <row r="24">
      <c r="A24" t="n">
        <v>107</v>
      </c>
      <c r="B24" t="inlineStr">
        <is>
          <t>2 — Sessions</t>
        </is>
      </c>
      <c r="C24" t="n">
        <v>13</v>
      </c>
      <c r="D24" t="inlineStr">
        <is>
          <t>Sessions — Card/Row Content &amp; Actions</t>
        </is>
      </c>
      <c r="E24" t="inlineStr">
        <is>
          <t>P0</t>
        </is>
      </c>
      <c r="F24" t="inlineStr">
        <is>
          <t>On a session card: verify name, created date, strategy name.</t>
        </is>
      </c>
      <c r="G24" t="inlineStr">
        <is>
          <t>Fields display correctly.</t>
        </is>
      </c>
      <c r="H24" t="inlineStr">
        <is>
          <t>— Not tested</t>
        </is>
      </c>
      <c r="I24" t="inlineStr">
        <is>
          <t>— Not tested</t>
        </is>
      </c>
      <c r="J24" t="inlineStr">
        <is>
          <t>— Not tested</t>
        </is>
      </c>
    </row>
    <row r="25">
      <c r="A25" t="n">
        <v>108</v>
      </c>
      <c r="B25" t="inlineStr">
        <is>
          <t>2 — Sessions</t>
        </is>
      </c>
      <c r="C25" t="n">
        <v>13</v>
      </c>
      <c r="D25" t="inlineStr">
        <is>
          <t>Sessions — Card/Row Content &amp; Actions</t>
        </is>
      </c>
      <c r="E25" t="inlineStr">
        <is>
          <t>P2</t>
        </is>
      </c>
      <c r="F25" t="inlineStr">
        <is>
          <t>Click **(i)** info icon next to strategy name.</t>
        </is>
      </c>
      <c r="G25" t="inlineStr">
        <is>
          <t>Strategy description tooltip/popup appears.</t>
        </is>
      </c>
      <c r="H25" t="inlineStr">
        <is>
          <t>— Not tested</t>
        </is>
      </c>
      <c r="I25" t="inlineStr">
        <is>
          <t>— Not tested</t>
        </is>
      </c>
      <c r="J25" t="inlineStr">
        <is>
          <t>— Not tested</t>
        </is>
      </c>
    </row>
    <row r="26">
      <c r="A26" t="n">
        <v>109</v>
      </c>
      <c r="B26" t="inlineStr">
        <is>
          <t>2 — Sessions</t>
        </is>
      </c>
      <c r="C26" t="n">
        <v>13</v>
      </c>
      <c r="D26" t="inlineStr">
        <is>
          <t>Sessions — Card/Row Content &amp; Actions</t>
        </is>
      </c>
      <c r="E26" t="inlineStr">
        <is>
          <t>P1</t>
        </is>
      </c>
      <c r="F26" t="inlineStr">
        <is>
          <t>Verify mode badge: Standard / Prop Firm / Journal colors.</t>
        </is>
      </c>
      <c r="G26" t="inlineStr">
        <is>
          <t>Correct color per mode.</t>
        </is>
      </c>
      <c r="H26" t="inlineStr">
        <is>
          <t>— Not tested</t>
        </is>
      </c>
      <c r="I26" t="inlineStr">
        <is>
          <t>— Not tested</t>
        </is>
      </c>
      <c r="J26" t="inlineStr">
        <is>
          <t>— Not tested</t>
        </is>
      </c>
    </row>
    <row r="27">
      <c r="A27" t="n">
        <v>110</v>
      </c>
      <c r="B27" t="inlineStr">
        <is>
          <t>2 — Sessions</t>
        </is>
      </c>
      <c r="C27" t="n">
        <v>13</v>
      </c>
      <c r="D27" t="inlineStr">
        <is>
          <t>Sessions — Card/Row Content &amp; Actions</t>
        </is>
      </c>
      <c r="E27" t="inlineStr">
        <is>
          <t>P1</t>
        </is>
      </c>
      <c r="F27" t="inlineStr">
        <is>
          <t>Verify asset class, symbols, date range timeline.</t>
        </is>
      </c>
      <c r="G27" t="inlineStr">
        <is>
          <t>Date range bar or text correct.</t>
        </is>
      </c>
      <c r="H27" t="inlineStr">
        <is>
          <t>— Not tested</t>
        </is>
      </c>
      <c r="I27" t="inlineStr">
        <is>
          <t>— Not tested</t>
        </is>
      </c>
      <c r="J27" t="inlineStr">
        <is>
          <t>— Not tested</t>
        </is>
      </c>
    </row>
    <row r="28">
      <c r="A28" t="n">
        <v>111</v>
      </c>
      <c r="B28" t="inlineStr">
        <is>
          <t>2 — Sessions</t>
        </is>
      </c>
      <c r="C28" t="n">
        <v>13</v>
      </c>
      <c r="D28" t="inlineStr">
        <is>
          <t>Sessions — Card/Row Content &amp; Actions</t>
        </is>
      </c>
      <c r="E28" t="inlineStr">
        <is>
          <t>P2</t>
        </is>
      </c>
      <c r="F28" t="inlineStr">
        <is>
          <t>Verify options chips: Rollback on/off, Costs on/off.</t>
        </is>
      </c>
      <c r="G28" t="inlineStr">
        <is>
          <t>Match session settings.</t>
        </is>
      </c>
      <c r="H28" t="inlineStr">
        <is>
          <t>— Not tested</t>
        </is>
      </c>
      <c r="I28" t="inlineStr">
        <is>
          <t>— Not tested</t>
        </is>
      </c>
      <c r="J28" t="inlineStr">
        <is>
          <t>— Not tested</t>
        </is>
      </c>
    </row>
    <row r="29">
      <c r="A29" t="n">
        <v>112</v>
      </c>
      <c r="B29" t="inlineStr">
        <is>
          <t>2 — Sessions</t>
        </is>
      </c>
      <c r="C29" t="n">
        <v>13</v>
      </c>
      <c r="D29" t="inlineStr">
        <is>
          <t>Sessions — Card/Row Content &amp; Actions</t>
        </is>
      </c>
      <c r="E29" t="inlineStr">
        <is>
          <t>P0</t>
        </is>
      </c>
      <c r="F29" t="inlineStr">
        <is>
          <t>Verify stats: Balance, P&amp;L, Win %, R:R, Trades, Progress bar.</t>
        </is>
      </c>
      <c r="G29" t="inlineStr">
        <is>
          <t>Numbers reasonable vs session state.</t>
        </is>
      </c>
      <c r="H29" t="inlineStr">
        <is>
          <t>— Not tested</t>
        </is>
      </c>
      <c r="I29" t="inlineStr">
        <is>
          <t>— Not tested</t>
        </is>
      </c>
      <c r="J29" t="inlineStr">
        <is>
          <t>— Not tested</t>
        </is>
      </c>
    </row>
    <row r="30">
      <c r="A30" t="n">
        <v>113</v>
      </c>
      <c r="B30" t="inlineStr">
        <is>
          <t>2 — Sessions</t>
        </is>
      </c>
      <c r="C30" t="n">
        <v>13</v>
      </c>
      <c r="D30" t="inlineStr">
        <is>
          <t>Sessions — Card/Row Content &amp; Actions</t>
        </is>
      </c>
      <c r="E30" t="inlineStr">
        <is>
          <t>P0</t>
        </is>
      </c>
      <c r="F30" t="inlineStr">
        <is>
          <t>Click **Resume (▶)** on not-started or active session.</t>
        </is>
      </c>
      <c r="G30" t="inlineStr">
        <is>
          <t>Chart/backtest or journal opens.</t>
        </is>
      </c>
      <c r="H30" t="inlineStr">
        <is>
          <t>— Not tested</t>
        </is>
      </c>
      <c r="I30" t="inlineStr">
        <is>
          <t>— Not tested</t>
        </is>
      </c>
      <c r="J30" t="inlineStr">
        <is>
          <t>— Not tested</t>
        </is>
      </c>
    </row>
    <row r="31">
      <c r="A31" t="n">
        <v>114</v>
      </c>
      <c r="B31" t="inlineStr">
        <is>
          <t>2 — Sessions</t>
        </is>
      </c>
      <c r="C31" t="n">
        <v>13</v>
      </c>
      <c r="D31" t="inlineStr">
        <is>
          <t>Sessions — Card/Row Content &amp; Actions</t>
        </is>
      </c>
      <c r="E31" t="inlineStr">
        <is>
          <t>P1</t>
        </is>
      </c>
      <c r="F31" t="inlineStr">
        <is>
          <t>Click **Dashboard (grid)** icon.</t>
        </is>
      </c>
      <c r="G31" t="inlineStr">
        <is>
          <t>Session performance dashboard opens.</t>
        </is>
      </c>
      <c r="H31" t="inlineStr">
        <is>
          <t>— Not tested</t>
        </is>
      </c>
      <c r="I31" t="inlineStr">
        <is>
          <t>— Not tested</t>
        </is>
      </c>
      <c r="J31" t="inlineStr">
        <is>
          <t>— Not tested</t>
        </is>
      </c>
    </row>
    <row r="32">
      <c r="A32" t="n">
        <v>115</v>
      </c>
      <c r="B32" t="inlineStr">
        <is>
          <t>2 — Sessions</t>
        </is>
      </c>
      <c r="C32" t="n">
        <v>13</v>
      </c>
      <c r="D32" t="inlineStr">
        <is>
          <t>Sessions — Card/Row Content &amp; Actions</t>
        </is>
      </c>
      <c r="E32" t="inlineStr">
        <is>
          <t>P0</t>
        </is>
      </c>
      <c r="F32" t="inlineStr">
        <is>
          <t>Open **⋯** menu on a **not-started** backtest session.</t>
        </is>
      </c>
      <c r="G32" t="inlineStr">
        <is>
          <t>Start, Dashboard, Edit, Duplicate, Delete available.</t>
        </is>
      </c>
      <c r="H32" t="inlineStr">
        <is>
          <t>— Not tested</t>
        </is>
      </c>
      <c r="I32" t="inlineStr">
        <is>
          <t>— Not tested</t>
        </is>
      </c>
      <c r="J32" t="inlineStr">
        <is>
          <t>— Not tested</t>
        </is>
      </c>
    </row>
    <row r="33">
      <c r="A33" t="n">
        <v>116</v>
      </c>
      <c r="B33" t="inlineStr">
        <is>
          <t>2 — Sessions</t>
        </is>
      </c>
      <c r="C33" t="n">
        <v>13</v>
      </c>
      <c r="D33" t="inlineStr">
        <is>
          <t>Sessions — Card/Row Content &amp; Actions</t>
        </is>
      </c>
      <c r="E33" t="inlineStr">
        <is>
          <t>P0</t>
        </is>
      </c>
      <c r="F33" t="inlineStr">
        <is>
          <t>Choose **Edit** on not-started session.</t>
        </is>
      </c>
      <c r="G33" t="inlineStr">
        <is>
          <t>Add Session modal opens in edit mode with pre-filled fields.</t>
        </is>
      </c>
      <c r="H33" t="inlineStr">
        <is>
          <t>— Not tested</t>
        </is>
      </c>
      <c r="I33" t="inlineStr">
        <is>
          <t>— Not tested</t>
        </is>
      </c>
      <c r="J33" t="inlineStr">
        <is>
          <t>— Not tested</t>
        </is>
      </c>
    </row>
    <row r="34">
      <c r="A34" t="n">
        <v>117</v>
      </c>
      <c r="B34" t="inlineStr">
        <is>
          <t>2 — Sessions</t>
        </is>
      </c>
      <c r="C34" t="n">
        <v>13</v>
      </c>
      <c r="D34" t="inlineStr">
        <is>
          <t>Sessions — Card/Row Content &amp; Actions</t>
        </is>
      </c>
      <c r="E34" t="inlineStr">
        <is>
          <t>P0</t>
        </is>
      </c>
      <c r="F34" t="inlineStr">
        <is>
          <t>Choose **Edit** on **started** session (progress &gt; 0).</t>
        </is>
      </c>
      <c r="G34" t="inlineStr">
        <is>
          <t>Edit is **disabled** with explanation.</t>
        </is>
      </c>
      <c r="H34" t="inlineStr">
        <is>
          <t>— Not tested</t>
        </is>
      </c>
      <c r="I34" t="inlineStr">
        <is>
          <t>— Not tested</t>
        </is>
      </c>
      <c r="J34" t="inlineStr">
        <is>
          <t>— Not tested</t>
        </is>
      </c>
    </row>
    <row r="35">
      <c r="A35" t="n">
        <v>118</v>
      </c>
      <c r="B35" t="inlineStr">
        <is>
          <t>2 — Sessions</t>
        </is>
      </c>
      <c r="C35" t="n">
        <v>13</v>
      </c>
      <c r="D35" t="inlineStr">
        <is>
          <t>Sessions — Card/Row Content &amp; Actions</t>
        </is>
      </c>
      <c r="E35" t="inlineStr">
        <is>
          <t>P1</t>
        </is>
      </c>
      <c r="F35" t="inlineStr">
        <is>
          <t>Choose **Duplicate**.</t>
        </is>
      </c>
      <c r="G35" t="inlineStr">
        <is>
          <t>New session copy created.</t>
        </is>
      </c>
      <c r="H35" t="inlineStr">
        <is>
          <t>— Not tested</t>
        </is>
      </c>
      <c r="I35" t="inlineStr">
        <is>
          <t>— Not tested</t>
        </is>
      </c>
      <c r="J35" t="inlineStr">
        <is>
          <t>— Not tested</t>
        </is>
      </c>
    </row>
    <row r="36">
      <c r="A36" t="n">
        <v>119</v>
      </c>
      <c r="B36" t="inlineStr">
        <is>
          <t>2 — Sessions</t>
        </is>
      </c>
      <c r="C36" t="n">
        <v>13</v>
      </c>
      <c r="D36" t="inlineStr">
        <is>
          <t>Sessions — Card/Row Content &amp; Actions</t>
        </is>
      </c>
      <c r="E36" t="inlineStr">
        <is>
          <t>P1</t>
        </is>
      </c>
      <c r="F36" t="inlineStr">
        <is>
          <t>Choose **Delete** → confirm.</t>
        </is>
      </c>
      <c r="G36" t="inlineStr">
        <is>
          <t>Session removed from list.</t>
        </is>
      </c>
      <c r="H36" t="inlineStr">
        <is>
          <t>— Not tested</t>
        </is>
      </c>
      <c r="I36" t="inlineStr">
        <is>
          <t>— Not tested</t>
        </is>
      </c>
      <c r="J36" t="inlineStr">
        <is>
          <t>— Not tested</t>
        </is>
      </c>
    </row>
    <row r="37">
      <c r="A37" t="n">
        <v>120</v>
      </c>
      <c r="B37" t="inlineStr">
        <is>
          <t>2 — Sessions</t>
        </is>
      </c>
      <c r="C37" t="n">
        <v>13</v>
      </c>
      <c r="D37" t="inlineStr">
        <is>
          <t>Sessions — Card/Row Content &amp; Actions</t>
        </is>
      </c>
      <c r="E37" t="inlineStr">
        <is>
          <t>P1</t>
        </is>
      </c>
      <c r="F37" t="inlineStr">
        <is>
          <t>On **Journal** session ⋯ menu: Trades, Add Trade, Dashboard, Edit Journal, Delete.</t>
        </is>
      </c>
      <c r="G37" t="inlineStr">
        <is>
          <t>Journal-specific actions present.</t>
        </is>
      </c>
      <c r="H37" t="inlineStr">
        <is>
          <t>— Not tested</t>
        </is>
      </c>
      <c r="I37" t="inlineStr">
        <is>
          <t>— Not tested</t>
        </is>
      </c>
      <c r="J37" t="inlineStr">
        <is>
          <t>— Not tested</t>
        </is>
      </c>
    </row>
    <row r="38">
      <c r="A38" t="n">
        <v>121</v>
      </c>
      <c r="B38" t="inlineStr">
        <is>
          <t>2 — Sessions</t>
        </is>
      </c>
      <c r="C38" t="n">
        <v>14</v>
      </c>
      <c r="D38" t="inlineStr">
        <is>
          <t>New Session — Kind Picker (Backtest vs Journal)</t>
        </is>
      </c>
      <c r="E38" t="inlineStr">
        <is>
          <t>P0</t>
        </is>
      </c>
      <c r="F38" t="inlineStr">
        <is>
          <t>Click **New Session**.</t>
        </is>
      </c>
      <c r="G38" t="inlineStr">
        <is>
          <t>Step 1 picker opens: Backtest vs Journal.</t>
        </is>
      </c>
      <c r="H38" t="inlineStr">
        <is>
          <t>— Not tested</t>
        </is>
      </c>
      <c r="I38" t="inlineStr">
        <is>
          <t>— Not tested</t>
        </is>
      </c>
      <c r="J38" t="inlineStr">
        <is>
          <t>— Not tested</t>
        </is>
      </c>
    </row>
    <row r="39">
      <c r="A39" t="n">
        <v>122</v>
      </c>
      <c r="B39" t="inlineStr">
        <is>
          <t>2 — Sessions</t>
        </is>
      </c>
      <c r="C39" t="n">
        <v>14</v>
      </c>
      <c r="D39" t="inlineStr">
        <is>
          <t>New Session — Kind Picker (Backtest vs Journal)</t>
        </is>
      </c>
      <c r="E39" t="inlineStr">
        <is>
          <t>P0</t>
        </is>
      </c>
      <c r="F39" t="inlineStr">
        <is>
          <t>Choose **Backtest**.</t>
        </is>
      </c>
      <c r="G39" t="inlineStr">
        <is>
          <t>Backtest New Session modal opens.</t>
        </is>
      </c>
      <c r="H39" t="inlineStr">
        <is>
          <t>— Not tested</t>
        </is>
      </c>
      <c r="I39" t="inlineStr">
        <is>
          <t>— Not tested</t>
        </is>
      </c>
      <c r="J39" t="inlineStr">
        <is>
          <t>— Not tested</t>
        </is>
      </c>
    </row>
    <row r="40">
      <c r="A40" t="n">
        <v>123</v>
      </c>
      <c r="B40" t="inlineStr">
        <is>
          <t>2 — Sessions</t>
        </is>
      </c>
      <c r="C40" t="n">
        <v>14</v>
      </c>
      <c r="D40" t="inlineStr">
        <is>
          <t>New Session — Kind Picker (Backtest vs Journal)</t>
        </is>
      </c>
      <c r="E40" t="inlineStr">
        <is>
          <t>P1</t>
        </is>
      </c>
      <c r="F40" t="inlineStr">
        <is>
          <t>Close modal; New Session → choose **Journal**.</t>
        </is>
      </c>
      <c r="G40" t="inlineStr">
        <is>
          <t>Journal type step opens (Real account / Prop firm).</t>
        </is>
      </c>
      <c r="H40" t="inlineStr">
        <is>
          <t>— Not tested</t>
        </is>
      </c>
      <c r="I40" t="inlineStr">
        <is>
          <t>— Not tested</t>
        </is>
      </c>
      <c r="J40" t="inlineStr">
        <is>
          <t>— Not tested</t>
        </is>
      </c>
    </row>
    <row r="41">
      <c r="A41" t="n">
        <v>124</v>
      </c>
      <c r="B41" t="inlineStr">
        <is>
          <t>2 — Sessions</t>
        </is>
      </c>
      <c r="C41" t="n">
        <v>14</v>
      </c>
      <c r="D41" t="inlineStr">
        <is>
          <t>New Session — Kind Picker (Backtest vs Journal)</t>
        </is>
      </c>
      <c r="E41" t="inlineStr">
        <is>
          <t>P1</t>
        </is>
      </c>
      <c r="F41" t="inlineStr">
        <is>
          <t>Select **Real account** or **Prop firm**.</t>
        </is>
      </c>
      <c r="G41" t="inlineStr">
        <is>
          <t>Proceeds to Add trades method step.</t>
        </is>
      </c>
      <c r="H41" t="inlineStr">
        <is>
          <t>— Not tested</t>
        </is>
      </c>
      <c r="I41" t="inlineStr">
        <is>
          <t>— Not tested</t>
        </is>
      </c>
      <c r="J41" t="inlineStr">
        <is>
          <t>— Not tested</t>
        </is>
      </c>
    </row>
    <row r="42">
      <c r="A42" t="n">
        <v>125</v>
      </c>
      <c r="B42" t="inlineStr">
        <is>
          <t>2 — Sessions</t>
        </is>
      </c>
      <c r="C42" t="n">
        <v>14</v>
      </c>
      <c r="D42" t="inlineStr">
        <is>
          <t>New Session — Kind Picker (Backtest vs Journal)</t>
        </is>
      </c>
      <c r="E42" t="inlineStr">
        <is>
          <t>P1</t>
        </is>
      </c>
      <c r="F42" t="inlineStr">
        <is>
          <t>On Add trades step: **Manual trades**.</t>
        </is>
      </c>
      <c r="G42" t="inlineStr">
        <is>
          <t>Option selectable (works).</t>
        </is>
      </c>
      <c r="H42" t="inlineStr">
        <is>
          <t>— Not tested</t>
        </is>
      </c>
      <c r="I42" t="inlineStr">
        <is>
          <t>— Not tested</t>
        </is>
      </c>
      <c r="J42" t="inlineStr">
        <is>
          <t>— Not tested</t>
        </is>
      </c>
    </row>
    <row r="43">
      <c r="A43" t="n">
        <v>126</v>
      </c>
      <c r="B43" t="inlineStr">
        <is>
          <t>2 — Sessions</t>
        </is>
      </c>
      <c r="C43" t="n">
        <v>14</v>
      </c>
      <c r="D43" t="inlineStr">
        <is>
          <t>New Session — Kind Picker (Backtest vs Journal)</t>
        </is>
      </c>
      <c r="E43" t="inlineStr">
        <is>
          <t>P2</t>
        </is>
      </c>
      <c r="F43" t="inlineStr">
        <is>
          <t>Verify **CSV import** shows Coming Soon (if labeled).</t>
        </is>
      </c>
      <c r="G43" t="inlineStr">
        <is>
          <t>Cannot proceed or shows disabled.</t>
        </is>
      </c>
      <c r="H43" t="inlineStr">
        <is>
          <t>— Not tested</t>
        </is>
      </c>
      <c r="I43" t="inlineStr">
        <is>
          <t>— Not tested</t>
        </is>
      </c>
      <c r="J43" t="inlineStr">
        <is>
          <t>— Not tested</t>
        </is>
      </c>
    </row>
    <row r="44">
      <c r="A44" t="n">
        <v>127</v>
      </c>
      <c r="B44" t="inlineStr">
        <is>
          <t>2 — Sessions</t>
        </is>
      </c>
      <c r="C44" t="n">
        <v>14</v>
      </c>
      <c r="D44" t="inlineStr">
        <is>
          <t>New Session — Kind Picker (Backtest vs Journal)</t>
        </is>
      </c>
      <c r="E44" t="inlineStr">
        <is>
          <t>P2</t>
        </is>
      </c>
      <c r="F44" t="inlineStr">
        <is>
          <t>Verify **Link with broker** shows Coming Soon.</t>
        </is>
      </c>
      <c r="G44" t="inlineStr">
        <is>
          <t>Cannot proceed or shows disabled.</t>
        </is>
      </c>
      <c r="H44" t="inlineStr">
        <is>
          <t>— Not tested</t>
        </is>
      </c>
      <c r="I44" t="inlineStr">
        <is>
          <t>— Not tested</t>
        </is>
      </c>
      <c r="J44" t="inlineStr">
        <is>
          <t>— Not tested</t>
        </is>
      </c>
    </row>
    <row r="45">
      <c r="A45" t="n">
        <v>128</v>
      </c>
      <c r="B45" t="inlineStr">
        <is>
          <t>2 — Sessions</t>
        </is>
      </c>
      <c r="C45" t="n">
        <v>15</v>
      </c>
      <c r="D45" t="inlineStr">
        <is>
          <t>Add Session Modal — Session Info</t>
        </is>
      </c>
      <c r="E45" t="inlineStr">
        <is>
          <t>P0</t>
        </is>
      </c>
      <c r="F45" t="inlineStr">
        <is>
          <t>Open new Backtest session modal.</t>
        </is>
      </c>
      <c r="G45" t="inlineStr">
        <is>
          <t>Modal title indicates new session.</t>
        </is>
      </c>
      <c r="H45" t="inlineStr">
        <is>
          <t>— Not tested</t>
        </is>
      </c>
      <c r="I45" t="inlineStr">
        <is>
          <t>— Not tested</t>
        </is>
      </c>
      <c r="J45" t="inlineStr">
        <is>
          <t>— Not tested</t>
        </is>
      </c>
    </row>
    <row r="46">
      <c r="A46" t="n">
        <v>129</v>
      </c>
      <c r="B46" t="inlineStr">
        <is>
          <t>2 — Sessions</t>
        </is>
      </c>
      <c r="C46" t="n">
        <v>15</v>
      </c>
      <c r="D46" t="inlineStr">
        <is>
          <t>Add Session Modal — Session Info</t>
        </is>
      </c>
      <c r="E46" t="inlineStr">
        <is>
          <t>P0</t>
        </is>
      </c>
      <c r="F46" t="inlineStr">
        <is>
          <t>**Session name** — leave empty; check Save/Start disabled.</t>
        </is>
      </c>
      <c r="G46" t="inlineStr">
        <is>
          <t>Buttons disabled until required fields filled.</t>
        </is>
      </c>
      <c r="H46" t="inlineStr">
        <is>
          <t>— Not tested</t>
        </is>
      </c>
      <c r="I46" t="inlineStr">
        <is>
          <t>— Not tested</t>
        </is>
      </c>
      <c r="J46" t="inlineStr">
        <is>
          <t>— Not tested</t>
        </is>
      </c>
    </row>
    <row r="47">
      <c r="A47" t="n">
        <v>130</v>
      </c>
      <c r="B47" t="inlineStr">
        <is>
          <t>2 — Sessions</t>
        </is>
      </c>
      <c r="C47" t="n">
        <v>15</v>
      </c>
      <c r="D47" t="inlineStr">
        <is>
          <t>Add Session Modal — Session Info</t>
        </is>
      </c>
      <c r="E47" t="inlineStr">
        <is>
          <t>P0</t>
        </is>
      </c>
      <c r="F47" t="inlineStr">
        <is>
          <t>Enter session name.</t>
        </is>
      </c>
      <c r="G47" t="inlineStr">
        <is>
          <t>Name field accepts text.</t>
        </is>
      </c>
      <c r="H47" t="inlineStr">
        <is>
          <t>— Not tested</t>
        </is>
      </c>
      <c r="I47" t="inlineStr">
        <is>
          <t>— Not tested</t>
        </is>
      </c>
      <c r="J47" t="inlineStr">
        <is>
          <t>— Not tested</t>
        </is>
      </c>
    </row>
    <row r="48">
      <c r="A48" t="n">
        <v>131</v>
      </c>
      <c r="B48" t="inlineStr">
        <is>
          <t>2 — Sessions</t>
        </is>
      </c>
      <c r="C48" t="n">
        <v>15</v>
      </c>
      <c r="D48" t="inlineStr">
        <is>
          <t>Add Session Modal — Session Info</t>
        </is>
      </c>
      <c r="E48" t="inlineStr">
        <is>
          <t>P0</t>
        </is>
      </c>
      <c r="F48" t="inlineStr">
        <is>
          <t>**Strategy** dropdown — open list.</t>
        </is>
      </c>
      <c r="G48" t="inlineStr">
        <is>
          <t>Shows My Strategies + None option.</t>
        </is>
      </c>
      <c r="H48" t="inlineStr">
        <is>
          <t>— Not tested</t>
        </is>
      </c>
      <c r="I48" t="inlineStr">
        <is>
          <t>— Not tested</t>
        </is>
      </c>
      <c r="J48" t="inlineStr">
        <is>
          <t>— Not tested</t>
        </is>
      </c>
    </row>
    <row r="49">
      <c r="A49" t="n">
        <v>132</v>
      </c>
      <c r="B49" t="inlineStr">
        <is>
          <t>2 — Sessions</t>
        </is>
      </c>
      <c r="C49" t="n">
        <v>15</v>
      </c>
      <c r="D49" t="inlineStr">
        <is>
          <t>Add Session Modal — Session Info</t>
        </is>
      </c>
      <c r="E49" t="inlineStr">
        <is>
          <t>P0</t>
        </is>
      </c>
      <c r="F49" t="inlineStr">
        <is>
          <t>Select a strategy.</t>
        </is>
      </c>
      <c r="G49" t="inlineStr">
        <is>
          <t>Strategy name applies to session.</t>
        </is>
      </c>
      <c r="H49" t="inlineStr">
        <is>
          <t>— Not tested</t>
        </is>
      </c>
      <c r="I49" t="inlineStr">
        <is>
          <t>— Not tested</t>
        </is>
      </c>
      <c r="J49" t="inlineStr">
        <is>
          <t>— Not tested</t>
        </is>
      </c>
    </row>
    <row r="50">
      <c r="A50" t="n">
        <v>133</v>
      </c>
      <c r="B50" t="inlineStr">
        <is>
          <t>2 — Sessions</t>
        </is>
      </c>
      <c r="C50" t="n">
        <v>15</v>
      </c>
      <c r="D50" t="inlineStr">
        <is>
          <t>Add Session Modal — Session Info</t>
        </is>
      </c>
      <c r="E50" t="inlineStr">
        <is>
          <t>P2</t>
        </is>
      </c>
      <c r="F50" t="inlineStr">
        <is>
          <t>Click **New Strategy** shortcut in dropdown.</t>
        </is>
      </c>
      <c r="G50" t="inlineStr">
        <is>
          <t>Navigates to Strategies create flow.</t>
        </is>
      </c>
      <c r="H50" t="inlineStr">
        <is>
          <t>— Not tested</t>
        </is>
      </c>
      <c r="I50" t="inlineStr">
        <is>
          <t>— Not tested</t>
        </is>
      </c>
      <c r="J50" t="inlineStr">
        <is>
          <t>— Not tested</t>
        </is>
      </c>
    </row>
    <row r="51">
      <c r="A51" t="n">
        <v>134</v>
      </c>
      <c r="B51" t="inlineStr">
        <is>
          <t>2 — Sessions</t>
        </is>
      </c>
      <c r="C51" t="n">
        <v>15</v>
      </c>
      <c r="D51" t="inlineStr">
        <is>
          <t>Add Session Modal — Session Info</t>
        </is>
      </c>
      <c r="E51" t="inlineStr">
        <is>
          <t>P1</t>
        </is>
      </c>
      <c r="F51" t="inlineStr">
        <is>
          <t>**Description** — enter text.</t>
        </is>
      </c>
      <c r="G51" t="inlineStr">
        <is>
          <t>Description saves with session.</t>
        </is>
      </c>
      <c r="H51" t="inlineStr">
        <is>
          <t>— Not tested</t>
        </is>
      </c>
      <c r="I51" t="inlineStr">
        <is>
          <t>— Not tested</t>
        </is>
      </c>
      <c r="J51" t="inlineStr">
        <is>
          <t>— Not tested</t>
        </is>
      </c>
    </row>
    <row r="52">
      <c r="A52" t="n">
        <v>135</v>
      </c>
      <c r="B52" t="inlineStr">
        <is>
          <t>2 — Sessions</t>
        </is>
      </c>
      <c r="C52" t="n">
        <v>16</v>
      </c>
      <c r="D52" t="inlineStr">
        <is>
          <t>Add Session Modal — Settings &amp; Symbols</t>
        </is>
      </c>
      <c r="E52" t="inlineStr">
        <is>
          <t>P0</t>
        </is>
      </c>
      <c r="F52" t="inlineStr">
        <is>
          <t>**Trading mode** — switch Standard ↔ Prop Firm.</t>
        </is>
      </c>
      <c r="G52" t="inlineStr">
        <is>
          <t>Prop section appears when Prop selected.</t>
        </is>
      </c>
      <c r="H52" t="inlineStr">
        <is>
          <t>— Not tested</t>
        </is>
      </c>
      <c r="I52" t="inlineStr">
        <is>
          <t>— Not tested</t>
        </is>
      </c>
      <c r="J52" t="inlineStr">
        <is>
          <t>— Not tested</t>
        </is>
      </c>
    </row>
    <row r="53">
      <c r="A53" t="n">
        <v>136</v>
      </c>
      <c r="B53" t="inlineStr">
        <is>
          <t>2 — Sessions</t>
        </is>
      </c>
      <c r="C53" t="n">
        <v>16</v>
      </c>
      <c r="D53" t="inlineStr">
        <is>
          <t>Add Session Modal — Settings &amp; Symbols</t>
        </is>
      </c>
      <c r="E53" t="inlineStr">
        <is>
          <t>P0</t>
        </is>
      </c>
      <c r="F53" t="inlineStr">
        <is>
          <t>**Asset class** dropdown — select Forex, Futures, Stocks, Crypto, etc.</t>
        </is>
      </c>
      <c r="G53" t="inlineStr">
        <is>
          <t>Symbol list updates per asset class.</t>
        </is>
      </c>
      <c r="H53" t="inlineStr">
        <is>
          <t>— Not tested</t>
        </is>
      </c>
      <c r="I53" t="inlineStr">
        <is>
          <t>— Not tested</t>
        </is>
      </c>
      <c r="J53" t="inlineStr">
        <is>
          <t>— Not tested</t>
        </is>
      </c>
    </row>
    <row r="54">
      <c r="A54" t="n">
        <v>137</v>
      </c>
      <c r="B54" t="inlineStr">
        <is>
          <t>2 — Sessions</t>
        </is>
      </c>
      <c r="C54" t="n">
        <v>16</v>
      </c>
      <c r="D54" t="inlineStr">
        <is>
          <t>Add Session Modal — Settings &amp; Symbols</t>
        </is>
      </c>
      <c r="E54" t="inlineStr">
        <is>
          <t>P0</t>
        </is>
      </c>
      <c r="F54" t="inlineStr">
        <is>
          <t>**Primary symbol(s)** — add ticker via search/picker.</t>
        </is>
      </c>
      <c r="G54" t="inlineStr">
        <is>
          <t>At least one symbol required; chip appears.</t>
        </is>
      </c>
      <c r="H54" t="inlineStr">
        <is>
          <t>— Not tested</t>
        </is>
      </c>
      <c r="I54" t="inlineStr">
        <is>
          <t>— Not tested</t>
        </is>
      </c>
      <c r="J54" t="inlineStr">
        <is>
          <t>— Not tested</t>
        </is>
      </c>
    </row>
    <row r="55">
      <c r="A55" t="n">
        <v>138</v>
      </c>
      <c r="B55" t="inlineStr">
        <is>
          <t>2 — Sessions</t>
        </is>
      </c>
      <c r="C55" t="n">
        <v>16</v>
      </c>
      <c r="D55" t="inlineStr">
        <is>
          <t>Add Session Modal — Settings &amp; Symbols</t>
        </is>
      </c>
      <c r="E55" t="inlineStr">
        <is>
          <t>P1</t>
        </is>
      </c>
      <c r="F55" t="inlineStr">
        <is>
          <t>Remove a ticker chip.</t>
        </is>
      </c>
      <c r="G55" t="inlineStr">
        <is>
          <t>Symbol removed from list.</t>
        </is>
      </c>
      <c r="H55" t="inlineStr">
        <is>
          <t>— Not tested</t>
        </is>
      </c>
      <c r="I55" t="inlineStr">
        <is>
          <t>— Not tested</t>
        </is>
      </c>
      <c r="J55" t="inlineStr">
        <is>
          <t>— Not tested</t>
        </is>
      </c>
    </row>
    <row r="56">
      <c r="A56" t="n">
        <v>139</v>
      </c>
      <c r="B56" t="inlineStr">
        <is>
          <t>2 — Sessions</t>
        </is>
      </c>
      <c r="C56" t="n">
        <v>16</v>
      </c>
      <c r="D56" t="inlineStr">
        <is>
          <t>Add Session Modal — Settings &amp; Symbols</t>
        </is>
      </c>
      <c r="E56" t="inlineStr">
        <is>
          <t>P0</t>
        </is>
      </c>
      <c r="F56" t="inlineStr">
        <is>
          <t>**Timeframe** — select (e.g. 1H, 15m, 1D).</t>
        </is>
      </c>
      <c r="G56" t="inlineStr">
        <is>
          <t>TF saves.</t>
        </is>
      </c>
      <c r="H56" t="inlineStr">
        <is>
          <t>— Not tested</t>
        </is>
      </c>
      <c r="I56" t="inlineStr">
        <is>
          <t>— Not tested</t>
        </is>
      </c>
      <c r="J56" t="inlineStr">
        <is>
          <t>— Not tested</t>
        </is>
      </c>
    </row>
    <row r="57">
      <c r="A57" t="n">
        <v>140</v>
      </c>
      <c r="B57" t="inlineStr">
        <is>
          <t>2 — Sessions</t>
        </is>
      </c>
      <c r="C57" t="n">
        <v>16</v>
      </c>
      <c r="D57" t="inlineStr">
        <is>
          <t>Add Session Modal — Settings &amp; Symbols</t>
        </is>
      </c>
      <c r="E57" t="inlineStr">
        <is>
          <t>P2</t>
        </is>
      </c>
      <c r="F57" t="inlineStr">
        <is>
          <t>Enable **supporting tickers** — add secondary symbols.</t>
        </is>
      </c>
      <c r="G57" t="inlineStr">
        <is>
          <t>Supporting symbols list populates.</t>
        </is>
      </c>
      <c r="H57" t="inlineStr">
        <is>
          <t>— Not tested</t>
        </is>
      </c>
      <c r="I57" t="inlineStr">
        <is>
          <t>— Not tested</t>
        </is>
      </c>
      <c r="J57" t="inlineStr">
        <is>
          <t>— Not tested</t>
        </is>
      </c>
    </row>
    <row r="58">
      <c r="A58" t="n">
        <v>141</v>
      </c>
      <c r="B58" t="inlineStr">
        <is>
          <t>2 — Sessions</t>
        </is>
      </c>
      <c r="C58" t="n">
        <v>16</v>
      </c>
      <c r="D58" t="inlineStr">
        <is>
          <t>Add Session Modal — Settings &amp; Symbols</t>
        </is>
      </c>
      <c r="E58" t="inlineStr">
        <is>
          <t>P1</t>
        </is>
      </c>
      <c r="F58" t="inlineStr">
        <is>
          <t>**Replay mode** — Candle vs Tick.</t>
        </is>
      </c>
      <c r="G58" t="inlineStr">
        <is>
          <t>Selection toggles.</t>
        </is>
      </c>
      <c r="H58" t="inlineStr">
        <is>
          <t>— Not tested</t>
        </is>
      </c>
      <c r="I58" t="inlineStr">
        <is>
          <t>— Not tested</t>
        </is>
      </c>
      <c r="J58" t="inlineStr">
        <is>
          <t>— Not tested</t>
        </is>
      </c>
    </row>
    <row r="59">
      <c r="A59" t="n">
        <v>142</v>
      </c>
      <c r="B59" t="inlineStr">
        <is>
          <t>2 — Sessions</t>
        </is>
      </c>
      <c r="C59" t="n">
        <v>16</v>
      </c>
      <c r="D59" t="inlineStr">
        <is>
          <t>Add Session Modal — Settings &amp; Symbols</t>
        </is>
      </c>
      <c r="E59" t="inlineStr">
        <is>
          <t>P1</t>
        </is>
      </c>
      <c r="F59" t="inlineStr">
        <is>
          <t>**Replay speed** slider.</t>
        </is>
      </c>
      <c r="G59" t="inlineStr">
        <is>
          <t>Speed value changes.</t>
        </is>
      </c>
      <c r="H59" t="inlineStr">
        <is>
          <t>— Not tested</t>
        </is>
      </c>
      <c r="I59" t="inlineStr">
        <is>
          <t>— Not tested</t>
        </is>
      </c>
      <c r="J59" t="inlineStr">
        <is>
          <t>— Not tested</t>
        </is>
      </c>
    </row>
    <row r="60">
      <c r="A60" t="n">
        <v>143</v>
      </c>
      <c r="B60" t="inlineStr">
        <is>
          <t>2 — Sessions</t>
        </is>
      </c>
      <c r="C60" t="n">
        <v>16</v>
      </c>
      <c r="D60" t="inlineStr">
        <is>
          <t>Add Session Modal — Settings &amp; Symbols</t>
        </is>
      </c>
      <c r="E60" t="inlineStr">
        <is>
          <t>P1</t>
        </is>
      </c>
      <c r="F60" t="inlineStr">
        <is>
          <t>**Rollback** toggle on/off.</t>
        </is>
      </c>
      <c r="G60" t="inlineStr">
        <is>
          <t>Setting saves.</t>
        </is>
      </c>
      <c r="H60" t="inlineStr">
        <is>
          <t>— Not tested</t>
        </is>
      </c>
      <c r="I60" t="inlineStr">
        <is>
          <t>— Not tested</t>
        </is>
      </c>
      <c r="J60" t="inlineStr">
        <is>
          <t>— Not tested</t>
        </is>
      </c>
    </row>
    <row r="61">
      <c r="A61" t="n">
        <v>144</v>
      </c>
      <c r="B61" t="inlineStr">
        <is>
          <t>2 — Sessions</t>
        </is>
      </c>
      <c r="C61" t="n">
        <v>16</v>
      </c>
      <c r="D61" t="inlineStr">
        <is>
          <t>Add Session Modal — Settings &amp; Symbols</t>
        </is>
      </c>
      <c r="E61" t="inlineStr">
        <is>
          <t>P2</t>
        </is>
      </c>
      <c r="F61" t="inlineStr">
        <is>
          <t>**MFE/MAE tracking** toggle + hours/candles window.</t>
        </is>
      </c>
      <c r="G61" t="inlineStr">
        <is>
          <t>Fields enable/disable together.</t>
        </is>
      </c>
      <c r="H61" t="inlineStr">
        <is>
          <t>— Not tested</t>
        </is>
      </c>
      <c r="I61" t="inlineStr">
        <is>
          <t>— Not tested</t>
        </is>
      </c>
      <c r="J61" t="inlineStr">
        <is>
          <t>— Not tested</t>
        </is>
      </c>
    </row>
    <row r="62">
      <c r="A62" t="n">
        <v>145</v>
      </c>
      <c r="B62" t="inlineStr">
        <is>
          <t>2 — Sessions</t>
        </is>
      </c>
      <c r="C62" t="n">
        <v>16</v>
      </c>
      <c r="D62" t="inlineStr">
        <is>
          <t>Add Session Modal — Settings &amp; Symbols</t>
        </is>
      </c>
      <c r="E62" t="inlineStr">
        <is>
          <t>P2</t>
        </is>
      </c>
      <c r="F62" t="inlineStr">
        <is>
          <t>**Post-exit window** — hours vs candles mode.</t>
        </is>
      </c>
      <c r="G62" t="inlineStr">
        <is>
          <t>Mode switch works.</t>
        </is>
      </c>
      <c r="H62" t="inlineStr">
        <is>
          <t>— Not tested</t>
        </is>
      </c>
      <c r="I62" t="inlineStr">
        <is>
          <t>— Not tested</t>
        </is>
      </c>
      <c r="J62" t="inlineStr">
        <is>
          <t>— Not tested</t>
        </is>
      </c>
    </row>
    <row r="63">
      <c r="A63" t="n">
        <v>146</v>
      </c>
      <c r="B63" t="inlineStr">
        <is>
          <t>2 — Sessions</t>
        </is>
      </c>
      <c r="C63" t="n">
        <v>16</v>
      </c>
      <c r="D63" t="inlineStr">
        <is>
          <t>Add Session Modal — Settings &amp; Symbols</t>
        </is>
      </c>
      <c r="E63" t="inlineStr">
        <is>
          <t>P1</t>
        </is>
      </c>
      <c r="F63" t="inlineStr">
        <is>
          <t>**Timezone** + **DST** toggles.</t>
        </is>
      </c>
      <c r="G63" t="inlineStr">
        <is>
          <t>Timezone list selectable.</t>
        </is>
      </c>
      <c r="H63" t="inlineStr">
        <is>
          <t>— Not tested</t>
        </is>
      </c>
      <c r="I63" t="inlineStr">
        <is>
          <t>— Not tested</t>
        </is>
      </c>
      <c r="J63" t="inlineStr">
        <is>
          <t>— Not tested</t>
        </is>
      </c>
    </row>
    <row r="64">
      <c r="A64" t="n">
        <v>147</v>
      </c>
      <c r="B64" t="inlineStr">
        <is>
          <t>2 — Sessions</t>
        </is>
      </c>
      <c r="C64" t="n">
        <v>16</v>
      </c>
      <c r="D64" t="inlineStr">
        <is>
          <t>Add Session Modal — Settings &amp; Symbols</t>
        </is>
      </c>
      <c r="E64" t="inlineStr">
        <is>
          <t>P2</t>
        </is>
      </c>
      <c r="F64" t="inlineStr">
        <is>
          <t>**Advanced order** toggle.</t>
        </is>
      </c>
      <c r="G64" t="inlineStr">
        <is>
          <t>Enables advanced order options for session.</t>
        </is>
      </c>
      <c r="H64" t="inlineStr">
        <is>
          <t>— Not tested</t>
        </is>
      </c>
      <c r="I64" t="inlineStr">
        <is>
          <t>— Not tested</t>
        </is>
      </c>
      <c r="J64" t="inlineStr">
        <is>
          <t>— Not tested</t>
        </is>
      </c>
    </row>
    <row r="65">
      <c r="A65" t="n">
        <v>148</v>
      </c>
      <c r="B65" t="inlineStr">
        <is>
          <t>2 — Sessions</t>
        </is>
      </c>
      <c r="C65" t="n">
        <v>17</v>
      </c>
      <c r="D65" t="inlineStr">
        <is>
          <t>Add Session Modal — Date Range</t>
        </is>
      </c>
      <c r="E65" t="inlineStr">
        <is>
          <t>P1</t>
        </is>
      </c>
      <c r="F65" t="inlineStr">
        <is>
          <t>**Date mode** — Date range vs N-bars (if both exist).</t>
        </is>
      </c>
      <c r="G65" t="inlineStr">
        <is>
          <t>UI switches between modes.</t>
        </is>
      </c>
      <c r="H65" t="inlineStr">
        <is>
          <t>— Not tested</t>
        </is>
      </c>
      <c r="I65" t="inlineStr">
        <is>
          <t>— Not tested</t>
        </is>
      </c>
      <c r="J65" t="inlineStr">
        <is>
          <t>— Not tested</t>
        </is>
      </c>
    </row>
    <row r="66">
      <c r="A66" t="n">
        <v>149</v>
      </c>
      <c r="B66" t="inlineStr">
        <is>
          <t>2 — Sessions</t>
        </is>
      </c>
      <c r="C66" t="n">
        <v>17</v>
      </c>
      <c r="D66" t="inlineStr">
        <is>
          <t>Add Session Modal — Date Range</t>
        </is>
      </c>
      <c r="E66" t="inlineStr">
        <is>
          <t>P0</t>
        </is>
      </c>
      <c r="F66" t="inlineStr">
        <is>
          <t>Open **calendar** for start date — pick a date.</t>
        </is>
      </c>
      <c r="G66" t="inlineStr">
        <is>
          <t>Start date field populates.</t>
        </is>
      </c>
      <c r="H66" t="inlineStr">
        <is>
          <t>— Not tested</t>
        </is>
      </c>
      <c r="I66" t="inlineStr">
        <is>
          <t>— Not tested</t>
        </is>
      </c>
      <c r="J66" t="inlineStr">
        <is>
          <t>— Not tested</t>
        </is>
      </c>
    </row>
    <row r="67">
      <c r="A67" t="n">
        <v>150</v>
      </c>
      <c r="B67" t="inlineStr">
        <is>
          <t>2 — Sessions</t>
        </is>
      </c>
      <c r="C67" t="n">
        <v>17</v>
      </c>
      <c r="D67" t="inlineStr">
        <is>
          <t>Add Session Modal — Date Range</t>
        </is>
      </c>
      <c r="E67" t="inlineStr">
        <is>
          <t>P0</t>
        </is>
      </c>
      <c r="F67" t="inlineStr">
        <is>
          <t>Open calendar for **end date** — pick after start.</t>
        </is>
      </c>
      <c r="G67" t="inlineStr">
        <is>
          <t>End date populates.</t>
        </is>
      </c>
      <c r="H67" t="inlineStr">
        <is>
          <t>— Not tested</t>
        </is>
      </c>
      <c r="I67" t="inlineStr">
        <is>
          <t>— Not tested</t>
        </is>
      </c>
      <c r="J67" t="inlineStr">
        <is>
          <t>— Not tested</t>
        </is>
      </c>
    </row>
    <row r="68">
      <c r="A68" t="n">
        <v>151</v>
      </c>
      <c r="B68" t="inlineStr">
        <is>
          <t>2 — Sessions</t>
        </is>
      </c>
      <c r="C68" t="n">
        <v>17</v>
      </c>
      <c r="D68" t="inlineStr">
        <is>
          <t>Add Session Modal — Date Range</t>
        </is>
      </c>
      <c r="E68" t="inlineStr">
        <is>
          <t>P1</t>
        </is>
      </c>
      <c r="F68" t="inlineStr">
        <is>
          <t>Use **quick date presets** (e.g. 1Y, 6M, YTD).</t>
        </is>
      </c>
      <c r="G68" t="inlineStr">
        <is>
          <t>Range auto-fills.</t>
        </is>
      </c>
      <c r="H68" t="inlineStr">
        <is>
          <t>— Not tested</t>
        </is>
      </c>
      <c r="I68" t="inlineStr">
        <is>
          <t>— Not tested</t>
        </is>
      </c>
      <c r="J68" t="inlineStr">
        <is>
          <t>— Not tested</t>
        </is>
      </c>
    </row>
    <row r="69">
      <c r="A69" t="n">
        <v>152</v>
      </c>
      <c r="B69" t="inlineStr">
        <is>
          <t>2 — Sessions</t>
        </is>
      </c>
      <c r="C69" t="n">
        <v>17</v>
      </c>
      <c r="D69" t="inlineStr">
        <is>
          <t>Add Session Modal — Date Range</t>
        </is>
      </c>
      <c r="E69" t="inlineStr">
        <is>
          <t>P2</t>
        </is>
      </c>
      <c r="F69" t="inlineStr">
        <is>
          <t>Type dates manually in start/end inputs.</t>
        </is>
      </c>
      <c r="G69" t="inlineStr">
        <is>
          <t>Manual entry parses correctly.</t>
        </is>
      </c>
      <c r="H69" t="inlineStr">
        <is>
          <t>— Not tested</t>
        </is>
      </c>
      <c r="I69" t="inlineStr">
        <is>
          <t>— Not tested</t>
        </is>
      </c>
      <c r="J69" t="inlineStr">
        <is>
          <t>— Not tested</t>
        </is>
      </c>
    </row>
    <row r="70">
      <c r="A70" t="n">
        <v>153</v>
      </c>
      <c r="B70" t="inlineStr">
        <is>
          <t>2 — Sessions</t>
        </is>
      </c>
      <c r="C70" t="n">
        <v>17</v>
      </c>
      <c r="D70" t="inlineStr">
        <is>
          <t>Add Session Modal — Date Range</t>
        </is>
      </c>
      <c r="E70" t="inlineStr">
        <is>
          <t>P1</t>
        </is>
      </c>
      <c r="F70" t="inlineStr">
        <is>
          <t>Set end before start.</t>
        </is>
      </c>
      <c r="G70" t="inlineStr">
        <is>
          <t>Validation error or auto-correct.</t>
        </is>
      </c>
      <c r="H70" t="inlineStr">
        <is>
          <t>— Not tested</t>
        </is>
      </c>
      <c r="I70" t="inlineStr">
        <is>
          <t>— Not tested</t>
        </is>
      </c>
      <c r="J70" t="inlineStr">
        <is>
          <t>— Not tested</t>
        </is>
      </c>
    </row>
    <row r="71">
      <c r="A71" t="n">
        <v>154</v>
      </c>
      <c r="B71" t="inlineStr">
        <is>
          <t>2 — Sessions</t>
        </is>
      </c>
      <c r="C71" t="n">
        <v>17</v>
      </c>
      <c r="D71" t="inlineStr">
        <is>
          <t>Add Session Modal — Date Range</t>
        </is>
      </c>
      <c r="E71" t="inlineStr">
        <is>
          <t>P2</t>
        </is>
      </c>
      <c r="F71" t="inlineStr">
        <is>
          <t>N-bars mode: enter bar count.</t>
        </is>
      </c>
      <c r="G71" t="inlineStr">
        <is>
          <t>Session uses last N bars.</t>
        </is>
      </c>
      <c r="H71" t="inlineStr">
        <is>
          <t>— Not tested</t>
        </is>
      </c>
      <c r="I71" t="inlineStr">
        <is>
          <t>— Not tested</t>
        </is>
      </c>
      <c r="J71" t="inlineStr">
        <is>
          <t>— Not tested</t>
        </is>
      </c>
    </row>
    <row r="72">
      <c r="A72" t="n">
        <v>155</v>
      </c>
      <c r="B72" t="inlineStr">
        <is>
          <t>2 — Sessions</t>
        </is>
      </c>
      <c r="C72" t="n">
        <v>18</v>
      </c>
      <c r="D72" t="inlineStr">
        <is>
          <t>Add Session Modal — Account &amp; Costs</t>
        </is>
      </c>
      <c r="E72" t="inlineStr">
        <is>
          <t>P0</t>
        </is>
      </c>
      <c r="F72" t="inlineStr">
        <is>
          <t>**Starting capital** — enter amount (required).</t>
        </is>
      </c>
      <c r="G72" t="inlineStr">
        <is>
          <t>Field accepts numbers.</t>
        </is>
      </c>
      <c r="H72" t="inlineStr">
        <is>
          <t>— Not tested</t>
        </is>
      </c>
      <c r="I72" t="inlineStr">
        <is>
          <t>— Not tested</t>
        </is>
      </c>
      <c r="J72" t="inlineStr">
        <is>
          <t>— Not tested</t>
        </is>
      </c>
    </row>
    <row r="73">
      <c r="A73" t="n">
        <v>156</v>
      </c>
      <c r="B73" t="inlineStr">
        <is>
          <t>2 — Sessions</t>
        </is>
      </c>
      <c r="C73" t="n">
        <v>18</v>
      </c>
      <c r="D73" t="inlineStr">
        <is>
          <t>Add Session Modal — Account &amp; Costs</t>
        </is>
      </c>
      <c r="E73" t="inlineStr">
        <is>
          <t>P1</t>
        </is>
      </c>
      <c r="F73" t="inlineStr">
        <is>
          <t>**Currency** dropdown — USD, EUR, etc.</t>
        </is>
      </c>
      <c r="G73" t="inlineStr">
        <is>
          <t>Currency flag/icon updates.</t>
        </is>
      </c>
      <c r="H73" t="inlineStr">
        <is>
          <t>— Not tested</t>
        </is>
      </c>
      <c r="I73" t="inlineStr">
        <is>
          <t>— Not tested</t>
        </is>
      </c>
      <c r="J73" t="inlineStr">
        <is>
          <t>— Not tested</t>
        </is>
      </c>
    </row>
    <row r="74">
      <c r="A74" t="n">
        <v>157</v>
      </c>
      <c r="B74" t="inlineStr">
        <is>
          <t>2 — Sessions</t>
        </is>
      </c>
      <c r="C74" t="n">
        <v>18</v>
      </c>
      <c r="D74" t="inlineStr">
        <is>
          <t>Add Session Modal — Account &amp; Costs</t>
        </is>
      </c>
      <c r="E74" t="inlineStr">
        <is>
          <t>P1</t>
        </is>
      </c>
      <c r="F74" t="inlineStr">
        <is>
          <t>**Risk mode** — % vs fixed $.</t>
        </is>
      </c>
      <c r="G74" t="inlineStr">
        <is>
          <t>Risk input label changes.</t>
        </is>
      </c>
      <c r="H74" t="inlineStr">
        <is>
          <t>— Not tested</t>
        </is>
      </c>
      <c r="I74" t="inlineStr">
        <is>
          <t>— Not tested</t>
        </is>
      </c>
      <c r="J74" t="inlineStr">
        <is>
          <t>— Not tested</t>
        </is>
      </c>
    </row>
    <row r="75">
      <c r="A75" t="n">
        <v>158</v>
      </c>
      <c r="B75" t="inlineStr">
        <is>
          <t>2 — Sessions</t>
        </is>
      </c>
      <c r="C75" t="n">
        <v>18</v>
      </c>
      <c r="D75" t="inlineStr">
        <is>
          <t>Add Session Modal — Account &amp; Costs</t>
        </is>
      </c>
      <c r="E75" t="inlineStr">
        <is>
          <t>P1</t>
        </is>
      </c>
      <c r="F75" t="inlineStr">
        <is>
          <t>**Risk value** — enter 1% or dollar amount.</t>
        </is>
      </c>
      <c r="G75" t="inlineStr">
        <is>
          <t>Value saves.</t>
        </is>
      </c>
      <c r="H75" t="inlineStr">
        <is>
          <t>— Not tested</t>
        </is>
      </c>
      <c r="I75" t="inlineStr">
        <is>
          <t>— Not tested</t>
        </is>
      </c>
      <c r="J75" t="inlineStr">
        <is>
          <t>— Not tested</t>
        </is>
      </c>
    </row>
    <row r="76">
      <c r="A76" t="n">
        <v>159</v>
      </c>
      <c r="B76" t="inlineStr">
        <is>
          <t>2 — Sessions</t>
        </is>
      </c>
      <c r="C76" t="n">
        <v>18</v>
      </c>
      <c r="D76" t="inlineStr">
        <is>
          <t>Add Session Modal — Account &amp; Costs</t>
        </is>
      </c>
      <c r="E76" t="inlineStr">
        <is>
          <t>P1</t>
        </is>
      </c>
      <c r="F76" t="inlineStr">
        <is>
          <t>**Leverage** — select or type (e.g. 1:100).</t>
        </is>
      </c>
      <c r="G76" t="inlineStr">
        <is>
          <t>Leverage saves.</t>
        </is>
      </c>
      <c r="H76" t="inlineStr">
        <is>
          <t>— Not tested</t>
        </is>
      </c>
      <c r="I76" t="inlineStr">
        <is>
          <t>— Not tested</t>
        </is>
      </c>
      <c r="J76" t="inlineStr">
        <is>
          <t>— Not tested</t>
        </is>
      </c>
    </row>
    <row r="77">
      <c r="A77" t="n">
        <v>160</v>
      </c>
      <c r="B77" t="inlineStr">
        <is>
          <t>2 — Sessions</t>
        </is>
      </c>
      <c r="C77" t="n">
        <v>18</v>
      </c>
      <c r="D77" t="inlineStr">
        <is>
          <t>Add Session Modal — Account &amp; Costs</t>
        </is>
      </c>
      <c r="E77" t="inlineStr">
        <is>
          <t>P1</t>
        </is>
      </c>
      <c r="F77" t="inlineStr">
        <is>
          <t>**Commission** type — none / per lot / etc.</t>
        </is>
      </c>
      <c r="G77" t="inlineStr">
        <is>
          <t>Commission value field enables.</t>
        </is>
      </c>
      <c r="H77" t="inlineStr">
        <is>
          <t>— Not tested</t>
        </is>
      </c>
      <c r="I77" t="inlineStr">
        <is>
          <t>— Not tested</t>
        </is>
      </c>
      <c r="J77" t="inlineStr">
        <is>
          <t>— Not tested</t>
        </is>
      </c>
    </row>
    <row r="78">
      <c r="A78" t="n">
        <v>161</v>
      </c>
      <c r="B78" t="inlineStr">
        <is>
          <t>2 — Sessions</t>
        </is>
      </c>
      <c r="C78" t="n">
        <v>18</v>
      </c>
      <c r="D78" t="inlineStr">
        <is>
          <t>Add Session Modal — Account &amp; Costs</t>
        </is>
      </c>
      <c r="E78" t="inlineStr">
        <is>
          <t>P1</t>
        </is>
      </c>
      <c r="F78" t="inlineStr">
        <is>
          <t>**Commission value** — enter e.g. 3.50.</t>
        </is>
      </c>
      <c r="G78" t="inlineStr">
        <is>
          <t>Value saves.</t>
        </is>
      </c>
      <c r="H78" t="inlineStr">
        <is>
          <t>— Not tested</t>
        </is>
      </c>
      <c r="I78" t="inlineStr">
        <is>
          <t>— Not tested</t>
        </is>
      </c>
      <c r="J78" t="inlineStr">
        <is>
          <t>— Not tested</t>
        </is>
      </c>
    </row>
    <row r="79">
      <c r="A79" t="n">
        <v>162</v>
      </c>
      <c r="B79" t="inlineStr">
        <is>
          <t>2 — Sessions</t>
        </is>
      </c>
      <c r="C79" t="n">
        <v>18</v>
      </c>
      <c r="D79" t="inlineStr">
        <is>
          <t>Add Session Modal — Account &amp; Costs</t>
        </is>
      </c>
      <c r="E79" t="inlineStr">
        <is>
          <t>P2</t>
        </is>
      </c>
      <c r="F79" t="inlineStr">
        <is>
          <t>**Slippage** — enter ticks/pips.</t>
        </is>
      </c>
      <c r="G79" t="inlineStr">
        <is>
          <t>Value saves.</t>
        </is>
      </c>
      <c r="H79" t="inlineStr">
        <is>
          <t>— Not tested</t>
        </is>
      </c>
      <c r="I79" t="inlineStr">
        <is>
          <t>— Not tested</t>
        </is>
      </c>
      <c r="J79" t="inlineStr">
        <is>
          <t>— Not tested</t>
        </is>
      </c>
    </row>
    <row r="80">
      <c r="A80" t="n">
        <v>163</v>
      </c>
      <c r="B80" t="inlineStr">
        <is>
          <t>2 — Sessions</t>
        </is>
      </c>
      <c r="C80" t="n">
        <v>18</v>
      </c>
      <c r="D80" t="inlineStr">
        <is>
          <t>Add Session Modal — Account &amp; Costs</t>
        </is>
      </c>
      <c r="E80" t="inlineStr">
        <is>
          <t>P2</t>
        </is>
      </c>
      <c r="F80" t="inlineStr">
        <is>
          <t>**Spread** per symbol if exposed.</t>
        </is>
      </c>
      <c r="G80" t="inlineStr">
        <is>
          <t>Spread saves.</t>
        </is>
      </c>
      <c r="H80" t="inlineStr">
        <is>
          <t>— Not tested</t>
        </is>
      </c>
      <c r="I80" t="inlineStr">
        <is>
          <t>— Not tested</t>
        </is>
      </c>
      <c r="J80" t="inlineStr">
        <is>
          <t>— Not tested</t>
        </is>
      </c>
    </row>
    <row r="81">
      <c r="A81" t="n">
        <v>164</v>
      </c>
      <c r="B81" t="inlineStr">
        <is>
          <t>2 — Sessions</t>
        </is>
      </c>
      <c r="C81" t="n">
        <v>18</v>
      </c>
      <c r="D81" t="inlineStr">
        <is>
          <t>Add Session Modal — Account &amp; Costs</t>
        </is>
      </c>
      <c r="E81" t="inlineStr">
        <is>
          <t>P2</t>
        </is>
      </c>
      <c r="F81" t="inlineStr">
        <is>
          <t>**Margin call** / **Stop out** levels if shown.</t>
        </is>
      </c>
      <c r="G81" t="inlineStr">
        <is>
          <t>Values editable.</t>
        </is>
      </c>
      <c r="H81" t="inlineStr">
        <is>
          <t>— Not tested</t>
        </is>
      </c>
      <c r="I81" t="inlineStr">
        <is>
          <t>— Not tested</t>
        </is>
      </c>
      <c r="J81" t="inlineStr">
        <is>
          <t>— Not tested</t>
        </is>
      </c>
    </row>
    <row r="82">
      <c r="A82" t="n">
        <v>165</v>
      </c>
      <c r="B82" t="inlineStr">
        <is>
          <t>2 — Sessions</t>
        </is>
      </c>
      <c r="C82" t="n">
        <v>18</v>
      </c>
      <c r="D82" t="inlineStr">
        <is>
          <t>Add Session Modal — Account &amp; Costs</t>
        </is>
      </c>
      <c r="E82" t="inlineStr">
        <is>
          <t>P2</t>
        </is>
      </c>
      <c r="F82" t="inlineStr">
        <is>
          <t>**Data files** — open file picker; link CSV dataset.</t>
        </is>
      </c>
      <c r="G82" t="inlineStr">
        <is>
          <t>File attaches to session.</t>
        </is>
      </c>
      <c r="H82" t="inlineStr">
        <is>
          <t>— Not tested</t>
        </is>
      </c>
      <c r="I82" t="inlineStr">
        <is>
          <t>— Not tested</t>
        </is>
      </c>
      <c r="J82" t="inlineStr">
        <is>
          <t>— Not tested</t>
        </is>
      </c>
    </row>
    <row r="83">
      <c r="A83" t="n">
        <v>166</v>
      </c>
      <c r="B83" t="inlineStr">
        <is>
          <t>2 — Sessions</t>
        </is>
      </c>
      <c r="C83" t="n">
        <v>19</v>
      </c>
      <c r="D83" t="inlineStr">
        <is>
          <t>Add Session Modal — Prop Firm Rules</t>
        </is>
      </c>
      <c r="E83" t="inlineStr">
        <is>
          <t>P0</t>
        </is>
      </c>
      <c r="F83" t="inlineStr">
        <is>
          <t>Set trading mode to **Prop Firm**.</t>
        </is>
      </c>
      <c r="G83" t="inlineStr">
        <is>
          <t>Prop Firm section expands.</t>
        </is>
      </c>
      <c r="H83" t="inlineStr">
        <is>
          <t>— Not tested</t>
        </is>
      </c>
      <c r="I83" t="inlineStr">
        <is>
          <t>— Not tested</t>
        </is>
      </c>
      <c r="J83" t="inlineStr">
        <is>
          <t>— Not tested</t>
        </is>
      </c>
    </row>
    <row r="84">
      <c r="A84" t="n">
        <v>167</v>
      </c>
      <c r="B84" t="inlineStr">
        <is>
          <t>2 — Sessions</t>
        </is>
      </c>
      <c r="C84" t="n">
        <v>19</v>
      </c>
      <c r="D84" t="inlineStr">
        <is>
          <t>Add Session Modal — Prop Firm Rules</t>
        </is>
      </c>
      <c r="E84" t="inlineStr">
        <is>
          <t>P1</t>
        </is>
      </c>
      <c r="F84" t="inlineStr">
        <is>
          <t>**Firm preset** — select FTMO or other.</t>
        </is>
      </c>
      <c r="G84" t="inlineStr">
        <is>
          <t>Preset fills default rule values.</t>
        </is>
      </c>
      <c r="H84" t="inlineStr">
        <is>
          <t>— Not tested</t>
        </is>
      </c>
      <c r="I84" t="inlineStr">
        <is>
          <t>— Not tested</t>
        </is>
      </c>
      <c r="J84" t="inlineStr">
        <is>
          <t>— Not tested</t>
        </is>
      </c>
    </row>
    <row r="85">
      <c r="A85" t="n">
        <v>168</v>
      </c>
      <c r="B85" t="inlineStr">
        <is>
          <t>2 — Sessions</t>
        </is>
      </c>
      <c r="C85" t="n">
        <v>19</v>
      </c>
      <c r="D85" t="inlineStr">
        <is>
          <t>Add Session Modal — Prop Firm Rules</t>
        </is>
      </c>
      <c r="E85" t="inlineStr">
        <is>
          <t>P1</t>
        </is>
      </c>
      <c r="F85" t="inlineStr">
        <is>
          <t>**Challenge type** — Evaluation / Funded.</t>
        </is>
      </c>
      <c r="G85" t="inlineStr">
        <is>
          <t>Selection saves.</t>
        </is>
      </c>
      <c r="H85" t="inlineStr">
        <is>
          <t>— Not tested</t>
        </is>
      </c>
      <c r="I85" t="inlineStr">
        <is>
          <t>— Not tested</t>
        </is>
      </c>
      <c r="J85" t="inlineStr">
        <is>
          <t>— Not tested</t>
        </is>
      </c>
    </row>
    <row r="86">
      <c r="A86" t="n">
        <v>169</v>
      </c>
      <c r="B86" t="inlineStr">
        <is>
          <t>2 — Sessions</t>
        </is>
      </c>
      <c r="C86" t="n">
        <v>19</v>
      </c>
      <c r="D86" t="inlineStr">
        <is>
          <t>Add Session Modal — Prop Firm Rules</t>
        </is>
      </c>
      <c r="E86" t="inlineStr">
        <is>
          <t>P1</t>
        </is>
      </c>
      <c r="F86" t="inlineStr">
        <is>
          <t>**Number of phases** — 1 or 2.</t>
        </is>
      </c>
      <c r="G86" t="inlineStr">
        <is>
          <t>Phase 2 fields appear when 2 selected.</t>
        </is>
      </c>
      <c r="H86" t="inlineStr">
        <is>
          <t>— Not tested</t>
        </is>
      </c>
      <c r="I86" t="inlineStr">
        <is>
          <t>— Not tested</t>
        </is>
      </c>
      <c r="J86" t="inlineStr">
        <is>
          <t>— Not tested</t>
        </is>
      </c>
    </row>
    <row r="87">
      <c r="A87" t="n">
        <v>170</v>
      </c>
      <c r="B87" t="inlineStr">
        <is>
          <t>2 — Sessions</t>
        </is>
      </c>
      <c r="C87" t="n">
        <v>19</v>
      </c>
      <c r="D87" t="inlineStr">
        <is>
          <t>Add Session Modal — Prop Firm Rules</t>
        </is>
      </c>
      <c r="E87" t="inlineStr">
        <is>
          <t>P0</t>
        </is>
      </c>
      <c r="F87" t="inlineStr">
        <is>
          <t>Phase 1: **Daily loss %**, **Max DD %**, **Profit target %**.</t>
        </is>
      </c>
      <c r="G87" t="inlineStr">
        <is>
          <t>Each field editable.</t>
        </is>
      </c>
      <c r="H87" t="inlineStr">
        <is>
          <t>— Not tested</t>
        </is>
      </c>
      <c r="I87" t="inlineStr">
        <is>
          <t>— Not tested</t>
        </is>
      </c>
      <c r="J87" t="inlineStr">
        <is>
          <t>— Not tested</t>
        </is>
      </c>
    </row>
    <row r="88">
      <c r="A88" t="n">
        <v>171</v>
      </c>
      <c r="B88" t="inlineStr">
        <is>
          <t>2 — Sessions</t>
        </is>
      </c>
      <c r="C88" t="n">
        <v>19</v>
      </c>
      <c r="D88" t="inlineStr">
        <is>
          <t>Add Session Modal — Prop Firm Rules</t>
        </is>
      </c>
      <c r="E88" t="inlineStr">
        <is>
          <t>P1</t>
        </is>
      </c>
      <c r="F88" t="inlineStr">
        <is>
          <t>Phase 1: **Min trading days** toggle + value.</t>
        </is>
      </c>
      <c r="G88" t="inlineStr">
        <is>
          <t>Toggle enables/disables day count.</t>
        </is>
      </c>
      <c r="H88" t="inlineStr">
        <is>
          <t>— Not tested</t>
        </is>
      </c>
      <c r="I88" t="inlineStr">
        <is>
          <t>— Not tested</t>
        </is>
      </c>
      <c r="J88" t="inlineStr">
        <is>
          <t>— Not tested</t>
        </is>
      </c>
    </row>
    <row r="89">
      <c r="A89" t="n">
        <v>172</v>
      </c>
      <c r="B89" t="inlineStr">
        <is>
          <t>2 — Sessions</t>
        </is>
      </c>
      <c r="C89" t="n">
        <v>19</v>
      </c>
      <c r="D89" t="inlineStr">
        <is>
          <t>Add Session Modal — Prop Firm Rules</t>
        </is>
      </c>
      <c r="E89" t="inlineStr">
        <is>
          <t>P1</t>
        </is>
      </c>
      <c r="F89" t="inlineStr">
        <is>
          <t>Phase 2: repeat loss/DD/target/min days if 2 phases.</t>
        </is>
      </c>
      <c r="G89" t="inlineStr">
        <is>
          <t>Phase 2 fields work independently.</t>
        </is>
      </c>
      <c r="H89" t="inlineStr">
        <is>
          <t>— Not tested</t>
        </is>
      </c>
      <c r="I89" t="inlineStr">
        <is>
          <t>— Not tested</t>
        </is>
      </c>
      <c r="J89" t="inlineStr">
        <is>
          <t>— Not tested</t>
        </is>
      </c>
    </row>
    <row r="90">
      <c r="A90" t="n">
        <v>173</v>
      </c>
      <c r="B90" t="inlineStr">
        <is>
          <t>2 — Sessions</t>
        </is>
      </c>
      <c r="C90" t="n">
        <v>19</v>
      </c>
      <c r="D90" t="inlineStr">
        <is>
          <t>Add Session Modal — Prop Firm Rules</t>
        </is>
      </c>
      <c r="E90" t="inlineStr">
        <is>
          <t>P1</t>
        </is>
      </c>
      <c r="F90" t="inlineStr">
        <is>
          <t>**Trailing drawdown** toggle.</t>
        </is>
      </c>
      <c r="G90" t="inlineStr">
        <is>
          <t>Setting saves.</t>
        </is>
      </c>
      <c r="H90" t="inlineStr">
        <is>
          <t>— Not tested</t>
        </is>
      </c>
      <c r="I90" t="inlineStr">
        <is>
          <t>— Not tested</t>
        </is>
      </c>
      <c r="J90" t="inlineStr">
        <is>
          <t>— Not tested</t>
        </is>
      </c>
    </row>
    <row r="91">
      <c r="A91" t="n">
        <v>174</v>
      </c>
      <c r="B91" t="inlineStr">
        <is>
          <t>2 — Sessions</t>
        </is>
      </c>
      <c r="C91" t="n">
        <v>19</v>
      </c>
      <c r="D91" t="inlineStr">
        <is>
          <t>Add Session Modal — Prop Firm Rules</t>
        </is>
      </c>
      <c r="E91" t="inlineStr">
        <is>
          <t>P2</t>
        </is>
      </c>
      <c r="F91" t="inlineStr">
        <is>
          <t>**Consistency rule** toggle + %.</t>
        </is>
      </c>
      <c r="G91" t="inlineStr">
        <is>
          <t>Fields work together.</t>
        </is>
      </c>
      <c r="H91" t="inlineStr">
        <is>
          <t>— Not tested</t>
        </is>
      </c>
      <c r="I91" t="inlineStr">
        <is>
          <t>— Not tested</t>
        </is>
      </c>
      <c r="J91" t="inlineStr">
        <is>
          <t>— Not tested</t>
        </is>
      </c>
    </row>
    <row r="92">
      <c r="A92" t="n">
        <v>175</v>
      </c>
      <c r="B92" t="inlineStr">
        <is>
          <t>2 — Sessions</t>
        </is>
      </c>
      <c r="C92" t="n">
        <v>19</v>
      </c>
      <c r="D92" t="inlineStr">
        <is>
          <t>Add Session Modal — Prop Firm Rules</t>
        </is>
      </c>
      <c r="E92" t="inlineStr">
        <is>
          <t>P2</t>
        </is>
      </c>
      <c r="F92" t="inlineStr">
        <is>
          <t>**Weekend holding** allowed toggle.</t>
        </is>
      </c>
      <c r="G92" t="inlineStr">
        <is>
          <t>Saves.</t>
        </is>
      </c>
      <c r="H92" t="inlineStr">
        <is>
          <t>— Not tested</t>
        </is>
      </c>
      <c r="I92" t="inlineStr">
        <is>
          <t>— Not tested</t>
        </is>
      </c>
      <c r="J92" t="inlineStr">
        <is>
          <t>— Not tested</t>
        </is>
      </c>
    </row>
    <row r="93">
      <c r="A93" t="n">
        <v>176</v>
      </c>
      <c r="B93" t="inlineStr">
        <is>
          <t>2 — Sessions</t>
        </is>
      </c>
      <c r="C93" t="n">
        <v>19</v>
      </c>
      <c r="D93" t="inlineStr">
        <is>
          <t>Add Session Modal — Prop Firm Rules</t>
        </is>
      </c>
      <c r="E93" t="inlineStr">
        <is>
          <t>P2</t>
        </is>
      </c>
      <c r="F93" t="inlineStr">
        <is>
          <t>**Max contracts/lots** toggle + value.</t>
        </is>
      </c>
      <c r="G93" t="inlineStr">
        <is>
          <t>Saves.</t>
        </is>
      </c>
      <c r="H93" t="inlineStr">
        <is>
          <t>— Not tested</t>
        </is>
      </c>
      <c r="I93" t="inlineStr">
        <is>
          <t>— Not tested</t>
        </is>
      </c>
      <c r="J93" t="inlineStr">
        <is>
          <t>— Not tested</t>
        </is>
      </c>
    </row>
    <row r="94">
      <c r="A94" t="n">
        <v>177</v>
      </c>
      <c r="B94" t="inlineStr">
        <is>
          <t>2 — Sessions</t>
        </is>
      </c>
      <c r="C94" t="n">
        <v>20</v>
      </c>
      <c r="D94" t="inlineStr">
        <is>
          <t>Add Session Modal — Save, Start &amp; Limits</t>
        </is>
      </c>
      <c r="E94" t="inlineStr">
        <is>
          <t>P0</t>
        </is>
      </c>
      <c r="F94" t="inlineStr">
        <is>
          <t>Fill all required fields; click **Save** (without launch).</t>
        </is>
      </c>
      <c r="G94" t="inlineStr">
        <is>
          <t>Session created; appears in list as Not Started.</t>
        </is>
      </c>
      <c r="H94" t="inlineStr">
        <is>
          <t>— Not tested</t>
        </is>
      </c>
      <c r="I94" t="inlineStr">
        <is>
          <t>— Not tested</t>
        </is>
      </c>
      <c r="J94" t="inlineStr">
        <is>
          <t>— Not tested</t>
        </is>
      </c>
    </row>
    <row r="95">
      <c r="A95" t="n">
        <v>178</v>
      </c>
      <c r="B95" t="inlineStr">
        <is>
          <t>2 — Sessions</t>
        </is>
      </c>
      <c r="C95" t="n">
        <v>20</v>
      </c>
      <c r="D95" t="inlineStr">
        <is>
          <t>Add Session Modal — Save, Start &amp; Limits</t>
        </is>
      </c>
      <c r="E95" t="inlineStr">
        <is>
          <t>P0</t>
        </is>
      </c>
      <c r="F95" t="inlineStr">
        <is>
          <t>Create another session; click **Start Session**.</t>
        </is>
      </c>
      <c r="G95" t="inlineStr">
        <is>
          <t>Session saves and redirects to chart/backtest.</t>
        </is>
      </c>
      <c r="H95" t="inlineStr">
        <is>
          <t>— Not tested</t>
        </is>
      </c>
      <c r="I95" t="inlineStr">
        <is>
          <t>— Not tested</t>
        </is>
      </c>
      <c r="J95" t="inlineStr">
        <is>
          <t>— Not tested</t>
        </is>
      </c>
    </row>
    <row r="96">
      <c r="A96" t="n">
        <v>179</v>
      </c>
      <c r="B96" t="inlineStr">
        <is>
          <t>2 — Sessions</t>
        </is>
      </c>
      <c r="C96" t="n">
        <v>20</v>
      </c>
      <c r="D96" t="inlineStr">
        <is>
          <t>Add Session Modal — Save, Start &amp; Limits</t>
        </is>
      </c>
      <c r="E96" t="inlineStr">
        <is>
          <t>P0</t>
        </is>
      </c>
      <c r="F96" t="inlineStr">
        <is>
          <t>Leave required field empty — verify Save/Start stay disabled.</t>
        </is>
      </c>
      <c r="G96" t="inlineStr">
        <is>
          <t>Cannot submit incomplete form.</t>
        </is>
      </c>
      <c r="H96" t="inlineStr">
        <is>
          <t>— Not tested</t>
        </is>
      </c>
      <c r="I96" t="inlineStr">
        <is>
          <t>— Not tested</t>
        </is>
      </c>
      <c r="J96" t="inlineStr">
        <is>
          <t>— Not tested</t>
        </is>
      </c>
    </row>
    <row r="97">
      <c r="A97" t="n">
        <v>180</v>
      </c>
      <c r="B97" t="inlineStr">
        <is>
          <t>2 — Sessions</t>
        </is>
      </c>
      <c r="C97" t="n">
        <v>20</v>
      </c>
      <c r="D97" t="inlineStr">
        <is>
          <t>Add Session Modal — Save, Start &amp; Limits</t>
        </is>
      </c>
      <c r="E97" t="inlineStr">
        <is>
          <t>P1</t>
        </is>
      </c>
      <c r="F97" t="inlineStr">
        <is>
          <t>If at plan session cap, try creating another.</t>
        </is>
      </c>
      <c r="G97" t="inlineStr">
        <is>
          <t>Session limit modal appears with upgrade message.</t>
        </is>
      </c>
      <c r="H97" t="inlineStr">
        <is>
          <t>— Not tested</t>
        </is>
      </c>
      <c r="I97" t="inlineStr">
        <is>
          <t>— Not tested</t>
        </is>
      </c>
      <c r="J97" t="inlineStr">
        <is>
          <t>— Not tested</t>
        </is>
      </c>
    </row>
    <row r="98">
      <c r="A98" t="n">
        <v>181</v>
      </c>
      <c r="B98" t="inlineStr">
        <is>
          <t>2 — Sessions</t>
        </is>
      </c>
      <c r="C98" t="n">
        <v>20</v>
      </c>
      <c r="D98" t="inlineStr">
        <is>
          <t>Add Session Modal — Save, Start &amp; Limits</t>
        </is>
      </c>
      <c r="E98" t="inlineStr">
        <is>
          <t>P0</t>
        </is>
      </c>
      <c r="F98" t="inlineStr">
        <is>
          <t>Edit a not-started session via list ⋯ → Edit; change name; Save.</t>
        </is>
      </c>
      <c r="G98" t="inlineStr">
        <is>
          <t>Changes persist.</t>
        </is>
      </c>
      <c r="H98" t="inlineStr">
        <is>
          <t>— Not tested</t>
        </is>
      </c>
      <c r="I98" t="inlineStr">
        <is>
          <t>— Not tested</t>
        </is>
      </c>
      <c r="J98" t="inlineStr">
        <is>
          <t>— Not tested</t>
        </is>
      </c>
    </row>
  </sheetData>
  <dataValidations count="2">
    <dataValidation sqref="H2:I98" showDropDown="0" showInputMessage="0" showErrorMessage="0" allowBlank="1" type="list">
      <formula1>"☑ Pass,☐ Fail,⚠ Partial,— Not tested"</formula1>
    </dataValidation>
    <dataValidation sqref="J2:J98" showDropDown="0" showInputMessage="0" showErrorMessage="0" allowBlank="1" type="list">
      <formula1>"☑ Yes,☐ No,— Not tested"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" customWidth="1" min="3" max="3"/>
    <col width="28" customWidth="1" min="4" max="4"/>
    <col width="8" customWidth="1" min="5" max="5"/>
    <col width="52" customWidth="1" min="6" max="6"/>
    <col width="40" customWidth="1" min="7" max="7"/>
    <col width="14" customWidth="1" min="8" max="8"/>
    <col width="14" customWidth="1" min="9" max="9"/>
    <col width="10" customWidth="1" min="10" max="10"/>
    <col width="36" customWidth="1" min="11" max="11"/>
    <col width="12" customWidth="1" min="12" max="12"/>
  </cols>
  <sheetData>
    <row r="1">
      <c r="A1" s="13" t="inlineStr">
        <is>
          <t>Step #</t>
        </is>
      </c>
      <c r="B1" s="13" t="inlineStr">
        <is>
          <t>Section</t>
        </is>
      </c>
      <c r="C1" s="13" t="inlineStr">
        <is>
          <t>Phase</t>
        </is>
      </c>
      <c r="D1" s="13" t="inlineStr">
        <is>
          <t>Phase Name</t>
        </is>
      </c>
      <c r="E1" s="13" t="inlineStr">
        <is>
          <t>Priority</t>
        </is>
      </c>
      <c r="F1" s="13" t="inlineStr">
        <is>
          <t>What to Do</t>
        </is>
      </c>
      <c r="G1" s="13" t="inlineStr">
        <is>
          <t>Expected Result</t>
        </is>
      </c>
      <c r="H1" s="13" t="inlineStr">
        <is>
          <t>Tester A</t>
        </is>
      </c>
      <c r="I1" s="13" t="inlineStr">
        <is>
          <t>Tester B</t>
        </is>
      </c>
      <c r="J1" s="13" t="inlineStr">
        <is>
          <t>Issue?</t>
        </is>
      </c>
      <c r="K1" s="13" t="inlineStr">
        <is>
          <t>Comments</t>
        </is>
      </c>
      <c r="L1" s="13" t="inlineStr">
        <is>
          <t>Date</t>
        </is>
      </c>
    </row>
    <row r="2">
      <c r="A2" t="n">
        <v>182</v>
      </c>
      <c r="B2" t="inlineStr">
        <is>
          <t>3 — Trades</t>
        </is>
      </c>
      <c r="C2" t="n">
        <v>21</v>
      </c>
      <c r="D2" t="inlineStr">
        <is>
          <t>Navigate to Trades Page</t>
        </is>
      </c>
      <c r="E2" t="inlineStr">
        <is>
          <t>P0</t>
        </is>
      </c>
      <c r="F2" t="inlineStr">
        <is>
          <t>Click **Trades** in left navigation.</t>
        </is>
      </c>
      <c r="G2" t="inlineStr">
        <is>
          <t>Trades page opens with trade table.</t>
        </is>
      </c>
      <c r="H2" t="inlineStr">
        <is>
          <t>— Not tested</t>
        </is>
      </c>
      <c r="I2" t="inlineStr">
        <is>
          <t>— Not tested</t>
        </is>
      </c>
      <c r="J2" t="inlineStr">
        <is>
          <t>— Not tested</t>
        </is>
      </c>
    </row>
    <row r="3">
      <c r="A3" t="n">
        <v>183</v>
      </c>
      <c r="B3" t="inlineStr">
        <is>
          <t>3 — Trades</t>
        </is>
      </c>
      <c r="C3" t="n">
        <v>21</v>
      </c>
      <c r="D3" t="inlineStr">
        <is>
          <t>Navigate to Trades Page</t>
        </is>
      </c>
      <c r="E3" t="inlineStr">
        <is>
          <t>P0</t>
        </is>
      </c>
      <c r="F3" t="inlineStr">
        <is>
          <t>Verify **source switcher** in header shows current applied source.</t>
        </is>
      </c>
      <c r="G3" t="inlineStr">
        <is>
          <t>Label matches active source or “select source”.</t>
        </is>
      </c>
      <c r="H3" t="inlineStr">
        <is>
          <t>— Not tested</t>
        </is>
      </c>
      <c r="I3" t="inlineStr">
        <is>
          <t>— Not tested</t>
        </is>
      </c>
      <c r="J3" t="inlineStr">
        <is>
          <t>— Not tested</t>
        </is>
      </c>
    </row>
    <row r="4">
      <c r="A4" t="n">
        <v>184</v>
      </c>
      <c r="B4" t="inlineStr">
        <is>
          <t>3 — Trades</t>
        </is>
      </c>
      <c r="C4" t="n">
        <v>22</v>
      </c>
      <c r="D4" t="inlineStr">
        <is>
          <t>Trades Page — Header Controls</t>
        </is>
      </c>
      <c r="E4" t="inlineStr">
        <is>
          <t>P0</t>
        </is>
      </c>
      <c r="F4" t="inlineStr">
        <is>
          <t>Click **source switcher**.</t>
        </is>
      </c>
      <c r="G4" t="inlineStr">
        <is>
          <t>Sources library opens (or source picker).</t>
        </is>
      </c>
      <c r="H4" t="inlineStr">
        <is>
          <t>— Not tested</t>
        </is>
      </c>
      <c r="I4" t="inlineStr">
        <is>
          <t>— Not tested</t>
        </is>
      </c>
      <c r="J4" t="inlineStr">
        <is>
          <t>— Not tested</t>
        </is>
      </c>
    </row>
    <row r="5">
      <c r="A5" t="n">
        <v>185</v>
      </c>
      <c r="B5" t="inlineStr">
        <is>
          <t>3 — Trades</t>
        </is>
      </c>
      <c r="C5" t="n">
        <v>22</v>
      </c>
      <c r="D5" t="inlineStr">
        <is>
          <t>Trades Page — Header Controls</t>
        </is>
      </c>
      <c r="E5" t="inlineStr">
        <is>
          <t>P0</t>
        </is>
      </c>
      <c r="F5" t="inlineStr">
        <is>
          <t>Open **Filters**.</t>
        </is>
      </c>
      <c r="G5" t="inlineStr">
        <is>
          <t>Filters panel/window opens with date, scope, tags, outcome options.</t>
        </is>
      </c>
      <c r="H5" t="inlineStr">
        <is>
          <t>— Not tested</t>
        </is>
      </c>
      <c r="I5" t="inlineStr">
        <is>
          <t>— Not tested</t>
        </is>
      </c>
      <c r="J5" t="inlineStr">
        <is>
          <t>— Not tested</t>
        </is>
      </c>
    </row>
    <row r="6">
      <c r="A6" t="n">
        <v>186</v>
      </c>
      <c r="B6" t="inlineStr">
        <is>
          <t>3 — Trades</t>
        </is>
      </c>
      <c r="C6" t="n">
        <v>22</v>
      </c>
      <c r="D6" t="inlineStr">
        <is>
          <t>Trades Page — Header Controls</t>
        </is>
      </c>
      <c r="E6" t="inlineStr">
        <is>
          <t>P1</t>
        </is>
      </c>
      <c r="F6" t="inlineStr">
        <is>
          <t>Apply a date range filter.</t>
        </is>
      </c>
      <c r="G6" t="inlineStr">
        <is>
          <t>Table shows only trades in range.</t>
        </is>
      </c>
      <c r="H6" t="inlineStr">
        <is>
          <t>— Not tested</t>
        </is>
      </c>
      <c r="I6" t="inlineStr">
        <is>
          <t>— Not tested</t>
        </is>
      </c>
      <c r="J6" t="inlineStr">
        <is>
          <t>— Not tested</t>
        </is>
      </c>
    </row>
    <row r="7">
      <c r="A7" t="n">
        <v>187</v>
      </c>
      <c r="B7" t="inlineStr">
        <is>
          <t>3 — Trades</t>
        </is>
      </c>
      <c r="C7" t="n">
        <v>22</v>
      </c>
      <c r="D7" t="inlineStr">
        <is>
          <t>Trades Page — Header Controls</t>
        </is>
      </c>
      <c r="E7" t="inlineStr">
        <is>
          <t>P1</t>
        </is>
      </c>
      <c r="F7" t="inlineStr">
        <is>
          <t>Clear filters.</t>
        </is>
      </c>
      <c r="G7" t="inlineStr">
        <is>
          <t>Full trade list returns.</t>
        </is>
      </c>
      <c r="H7" t="inlineStr">
        <is>
          <t>— Not tested</t>
        </is>
      </c>
      <c r="I7" t="inlineStr">
        <is>
          <t>— Not tested</t>
        </is>
      </c>
      <c r="J7" t="inlineStr">
        <is>
          <t>— Not tested</t>
        </is>
      </c>
    </row>
    <row r="8">
      <c r="A8" t="n">
        <v>188</v>
      </c>
      <c r="B8" t="inlineStr">
        <is>
          <t>3 — Trades</t>
        </is>
      </c>
      <c r="C8" t="n">
        <v>22</v>
      </c>
      <c r="D8" t="inlineStr">
        <is>
          <t>Trades Page — Header Controls</t>
        </is>
      </c>
      <c r="E8" t="inlineStr">
        <is>
          <t>P1</t>
        </is>
      </c>
      <c r="F8" t="inlineStr">
        <is>
          <t>Enable **Compare mode** (if button exists).</t>
        </is>
      </c>
      <c r="G8" t="inlineStr">
        <is>
          <t>Compare source picker opens.</t>
        </is>
      </c>
      <c r="H8" t="inlineStr">
        <is>
          <t>— Not tested</t>
        </is>
      </c>
      <c r="I8" t="inlineStr">
        <is>
          <t>— Not tested</t>
        </is>
      </c>
      <c r="J8" t="inlineStr">
        <is>
          <t>— Not tested</t>
        </is>
      </c>
    </row>
    <row r="9">
      <c r="A9" t="n">
        <v>189</v>
      </c>
      <c r="B9" t="inlineStr">
        <is>
          <t>3 — Trades</t>
        </is>
      </c>
      <c r="C9" t="n">
        <v>22</v>
      </c>
      <c r="D9" t="inlineStr">
        <is>
          <t>Trades Page — Header Controls</t>
        </is>
      </c>
      <c r="E9" t="inlineStr">
        <is>
          <t>P1</t>
        </is>
      </c>
      <c r="F9" t="inlineStr">
        <is>
          <t>Click **Import** — select a CSV file.</t>
        </is>
      </c>
      <c r="G9" t="inlineStr">
        <is>
          <t>Import runs; success or error message; table updates.</t>
        </is>
      </c>
      <c r="H9" t="inlineStr">
        <is>
          <t>— Not tested</t>
        </is>
      </c>
      <c r="I9" t="inlineStr">
        <is>
          <t>— Not tested</t>
        </is>
      </c>
      <c r="J9" t="inlineStr">
        <is>
          <t>— Not tested</t>
        </is>
      </c>
    </row>
    <row r="10">
      <c r="A10" t="n">
        <v>190</v>
      </c>
      <c r="B10" t="inlineStr">
        <is>
          <t>3 — Trades</t>
        </is>
      </c>
      <c r="C10" t="n">
        <v>22</v>
      </c>
      <c r="D10" t="inlineStr">
        <is>
          <t>Trades Page — Header Controls</t>
        </is>
      </c>
      <c r="E10" t="inlineStr">
        <is>
          <t>P1</t>
        </is>
      </c>
      <c r="F10" t="inlineStr">
        <is>
          <t>Click **Export** with trades present.</t>
        </is>
      </c>
      <c r="G10" t="inlineStr">
        <is>
          <t>CSV file downloads.</t>
        </is>
      </c>
      <c r="H10" t="inlineStr">
        <is>
          <t>— Not tested</t>
        </is>
      </c>
      <c r="I10" t="inlineStr">
        <is>
          <t>— Not tested</t>
        </is>
      </c>
      <c r="J10" t="inlineStr">
        <is>
          <t>— Not tested</t>
        </is>
      </c>
    </row>
    <row r="11">
      <c r="A11" t="n">
        <v>191</v>
      </c>
      <c r="B11" t="inlineStr">
        <is>
          <t>3 — Trades</t>
        </is>
      </c>
      <c r="C11" t="n">
        <v>22</v>
      </c>
      <c r="D11" t="inlineStr">
        <is>
          <t>Trades Page — Header Controls</t>
        </is>
      </c>
      <c r="E11" t="inlineStr">
        <is>
          <t>P2</t>
        </is>
      </c>
      <c r="F11" t="inlineStr">
        <is>
          <t>Click **Export** with zero trades.</t>
        </is>
      </c>
      <c r="G11" t="inlineStr">
        <is>
          <t>Button disabled or message shown.</t>
        </is>
      </c>
      <c r="H11" t="inlineStr">
        <is>
          <t>— Not tested</t>
        </is>
      </c>
      <c r="I11" t="inlineStr">
        <is>
          <t>— Not tested</t>
        </is>
      </c>
      <c r="J11" t="inlineStr">
        <is>
          <t>— Not tested</t>
        </is>
      </c>
    </row>
    <row r="12">
      <c r="A12" t="n">
        <v>192</v>
      </c>
      <c r="B12" t="inlineStr">
        <is>
          <t>3 — Trades</t>
        </is>
      </c>
      <c r="C12" t="n">
        <v>22</v>
      </c>
      <c r="D12" t="inlineStr">
        <is>
          <t>Trades Page — Header Controls</t>
        </is>
      </c>
      <c r="E12" t="inlineStr">
        <is>
          <t>P0</t>
        </is>
      </c>
      <c r="F12" t="inlineStr">
        <is>
          <t>Click **Add Trade**.</t>
        </is>
      </c>
      <c r="G12" t="inlineStr">
        <is>
          <t>Source picker opens (or editor if single source).</t>
        </is>
      </c>
      <c r="H12" t="inlineStr">
        <is>
          <t>— Not tested</t>
        </is>
      </c>
      <c r="I12" t="inlineStr">
        <is>
          <t>— Not tested</t>
        </is>
      </c>
      <c r="J12" t="inlineStr">
        <is>
          <t>— Not tested</t>
        </is>
      </c>
    </row>
    <row r="13">
      <c r="A13" t="n">
        <v>193</v>
      </c>
      <c r="B13" t="inlineStr">
        <is>
          <t>3 — Trades</t>
        </is>
      </c>
      <c r="C13" t="n">
        <v>23</v>
      </c>
      <c r="D13" t="inlineStr">
        <is>
          <t>Trades Table — Columns &amp; Sorting</t>
        </is>
      </c>
      <c r="E13" t="inlineStr">
        <is>
          <t>P0</t>
        </is>
      </c>
      <c r="F13" t="inlineStr">
        <is>
          <t>Verify default columns: Trade ID, Source, Date, Symbol, Side, Qty, Status, Net P&amp;L, R, etc.</t>
        </is>
      </c>
      <c r="G13" t="inlineStr">
        <is>
          <t>Columns render with data.</t>
        </is>
      </c>
      <c r="H13" t="inlineStr">
        <is>
          <t>— Not tested</t>
        </is>
      </c>
      <c r="I13" t="inlineStr">
        <is>
          <t>— Not tested</t>
        </is>
      </c>
      <c r="J13" t="inlineStr">
        <is>
          <t>— Not tested</t>
        </is>
      </c>
    </row>
    <row r="14">
      <c r="A14" t="n">
        <v>194</v>
      </c>
      <c r="B14" t="inlineStr">
        <is>
          <t>3 — Trades</t>
        </is>
      </c>
      <c r="C14" t="n">
        <v>23</v>
      </c>
      <c r="D14" t="inlineStr">
        <is>
          <t>Trades Table — Columns &amp; Sorting</t>
        </is>
      </c>
      <c r="E14" t="inlineStr">
        <is>
          <t>P1</t>
        </is>
      </c>
      <c r="F14" t="inlineStr">
        <is>
          <t>Open **column picker** — toggle optional columns.</t>
        </is>
      </c>
      <c r="G14" t="inlineStr">
        <is>
          <t>Columns show/hide in table.</t>
        </is>
      </c>
      <c r="H14" t="inlineStr">
        <is>
          <t>— Not tested</t>
        </is>
      </c>
      <c r="I14" t="inlineStr">
        <is>
          <t>— Not tested</t>
        </is>
      </c>
      <c r="J14" t="inlineStr">
        <is>
          <t>— Not tested</t>
        </is>
      </c>
    </row>
    <row r="15">
      <c r="A15" t="n">
        <v>195</v>
      </c>
      <c r="B15" t="inlineStr">
        <is>
          <t>3 — Trades</t>
        </is>
      </c>
      <c r="C15" t="n">
        <v>23</v>
      </c>
      <c r="D15" t="inlineStr">
        <is>
          <t>Trades Table — Columns &amp; Sorting</t>
        </is>
      </c>
      <c r="E15" t="inlineStr">
        <is>
          <t>P2</t>
        </is>
      </c>
      <c r="F15" t="inlineStr">
        <is>
          <t>Save a **custom column view** with a name.</t>
        </is>
      </c>
      <c r="G15" t="inlineStr">
        <is>
          <t>View restores when re-selected.</t>
        </is>
      </c>
      <c r="H15" t="inlineStr">
        <is>
          <t>— Not tested</t>
        </is>
      </c>
      <c r="I15" t="inlineStr">
        <is>
          <t>— Not tested</t>
        </is>
      </c>
      <c r="J15" t="inlineStr">
        <is>
          <t>— Not tested</t>
        </is>
      </c>
    </row>
    <row r="16">
      <c r="A16" t="n">
        <v>196</v>
      </c>
      <c r="B16" t="inlineStr">
        <is>
          <t>3 — Trades</t>
        </is>
      </c>
      <c r="C16" t="n">
        <v>23</v>
      </c>
      <c r="D16" t="inlineStr">
        <is>
          <t>Trades Table — Columns &amp; Sorting</t>
        </is>
      </c>
      <c r="E16" t="inlineStr">
        <is>
          <t>P1</t>
        </is>
      </c>
      <c r="F16" t="inlineStr">
        <is>
          <t>Click a column header to sort ascending.</t>
        </is>
      </c>
      <c r="G16" t="inlineStr">
        <is>
          <t>Rows re-order.</t>
        </is>
      </c>
      <c r="H16" t="inlineStr">
        <is>
          <t>— Not tested</t>
        </is>
      </c>
      <c r="I16" t="inlineStr">
        <is>
          <t>— Not tested</t>
        </is>
      </c>
      <c r="J16" t="inlineStr">
        <is>
          <t>— Not tested</t>
        </is>
      </c>
    </row>
    <row r="17">
      <c r="A17" t="n">
        <v>197</v>
      </c>
      <c r="B17" t="inlineStr">
        <is>
          <t>3 — Trades</t>
        </is>
      </c>
      <c r="C17" t="n">
        <v>23</v>
      </c>
      <c r="D17" t="inlineStr">
        <is>
          <t>Trades Table — Columns &amp; Sorting</t>
        </is>
      </c>
      <c r="E17" t="inlineStr">
        <is>
          <t>P1</t>
        </is>
      </c>
      <c r="F17" t="inlineStr">
        <is>
          <t>Click again for descending.</t>
        </is>
      </c>
      <c r="G17" t="inlineStr">
        <is>
          <t>Order reverses.</t>
        </is>
      </c>
      <c r="H17" t="inlineStr">
        <is>
          <t>— Not tested</t>
        </is>
      </c>
      <c r="I17" t="inlineStr">
        <is>
          <t>— Not tested</t>
        </is>
      </c>
      <c r="J17" t="inlineStr">
        <is>
          <t>— Not tested</t>
        </is>
      </c>
    </row>
    <row r="18">
      <c r="A18" t="n">
        <v>198</v>
      </c>
      <c r="B18" t="inlineStr">
        <is>
          <t>3 — Trades</t>
        </is>
      </c>
      <c r="C18" t="n">
        <v>23</v>
      </c>
      <c r="D18" t="inlineStr">
        <is>
          <t>Trades Table — Columns &amp; Sorting</t>
        </is>
      </c>
      <c r="E18" t="inlineStr">
        <is>
          <t>P0</t>
        </is>
      </c>
      <c r="F18" t="inlineStr">
        <is>
          <t>Click **row** to expand detail panel.</t>
        </is>
      </c>
      <c r="G18" t="inlineStr">
        <is>
          <t>Expanded section shows prices, R, excursion, tags, notes.</t>
        </is>
      </c>
      <c r="H18" t="inlineStr">
        <is>
          <t>— Not tested</t>
        </is>
      </c>
      <c r="I18" t="inlineStr">
        <is>
          <t>— Not tested</t>
        </is>
      </c>
      <c r="J18" t="inlineStr">
        <is>
          <t>— Not tested</t>
        </is>
      </c>
    </row>
    <row r="19">
      <c r="A19" t="n">
        <v>199</v>
      </c>
      <c r="B19" t="inlineStr">
        <is>
          <t>3 — Trades</t>
        </is>
      </c>
      <c r="C19" t="n">
        <v>23</v>
      </c>
      <c r="D19" t="inlineStr">
        <is>
          <t>Trades Table — Columns &amp; Sorting</t>
        </is>
      </c>
      <c r="E19" t="inlineStr">
        <is>
          <t>P0</t>
        </is>
      </c>
      <c r="F19" t="inlineStr">
        <is>
          <t>From expanded row click **Edit Trade**.</t>
        </is>
      </c>
      <c r="G19" t="inlineStr">
        <is>
          <t>Add Trade editor opens with trade data.</t>
        </is>
      </c>
      <c r="H19" t="inlineStr">
        <is>
          <t>— Not tested</t>
        </is>
      </c>
      <c r="I19" t="inlineStr">
        <is>
          <t>— Not tested</t>
        </is>
      </c>
      <c r="J19" t="inlineStr">
        <is>
          <t>— Not tested</t>
        </is>
      </c>
    </row>
    <row r="20">
      <c r="A20" t="n">
        <v>200</v>
      </c>
      <c r="B20" t="inlineStr">
        <is>
          <t>3 — Trades</t>
        </is>
      </c>
      <c r="C20" t="n">
        <v>23</v>
      </c>
      <c r="D20" t="inlineStr">
        <is>
          <t>Trades Table — Columns &amp; Sorting</t>
        </is>
      </c>
      <c r="E20" t="inlineStr">
        <is>
          <t>P1</t>
        </is>
      </c>
      <c r="F20" t="inlineStr">
        <is>
          <t>Verify **Manual** vs **Auto** source badge on rows.</t>
        </is>
      </c>
      <c r="G20" t="inlineStr">
        <is>
          <t>Correct badge per trade origin.</t>
        </is>
      </c>
      <c r="H20" t="inlineStr">
        <is>
          <t>— Not tested</t>
        </is>
      </c>
      <c r="I20" t="inlineStr">
        <is>
          <t>— Not tested</t>
        </is>
      </c>
      <c r="J20" t="inlineStr">
        <is>
          <t>— Not tested</t>
        </is>
      </c>
    </row>
    <row r="21">
      <c r="A21" t="n">
        <v>201</v>
      </c>
      <c r="B21" t="inlineStr">
        <is>
          <t>3 — Trades</t>
        </is>
      </c>
      <c r="C21" t="n">
        <v>23</v>
      </c>
      <c r="D21" t="inlineStr">
        <is>
          <t>Trades Table — Columns &amp; Sorting</t>
        </is>
      </c>
      <c r="E21" t="inlineStr">
        <is>
          <t>P2</t>
        </is>
      </c>
      <c r="F21" t="inlineStr">
        <is>
          <t>Verify **edited** badge on modified trades.</t>
        </is>
      </c>
      <c r="G21" t="inlineStr">
        <is>
          <t>Edited indicator shows.</t>
        </is>
      </c>
      <c r="H21" t="inlineStr">
        <is>
          <t>— Not tested</t>
        </is>
      </c>
      <c r="I21" t="inlineStr">
        <is>
          <t>— Not tested</t>
        </is>
      </c>
      <c r="J21" t="inlineStr">
        <is>
          <t>— Not tested</t>
        </is>
      </c>
    </row>
    <row r="22">
      <c r="A22" t="n">
        <v>202</v>
      </c>
      <c r="B22" t="inlineStr">
        <is>
          <t>3 — Trades</t>
        </is>
      </c>
      <c r="C22" t="n">
        <v>23</v>
      </c>
      <c r="D22" t="inlineStr">
        <is>
          <t>Trades Table — Columns &amp; Sorting</t>
        </is>
      </c>
      <c r="E22" t="inlineStr">
        <is>
          <t>P2</t>
        </is>
      </c>
      <c r="F22" t="inlineStr">
        <is>
          <t>Verify discipline label: According to Plan / Out of Plan / Missed Trade.</t>
        </is>
      </c>
      <c r="G22" t="inlineStr">
        <is>
          <t>Label matches trade data.</t>
        </is>
      </c>
      <c r="H22" t="inlineStr">
        <is>
          <t>— Not tested</t>
        </is>
      </c>
      <c r="I22" t="inlineStr">
        <is>
          <t>— Not tested</t>
        </is>
      </c>
      <c r="J22" t="inlineStr">
        <is>
          <t>— Not tested</t>
        </is>
      </c>
    </row>
    <row r="23">
      <c r="A23" t="n">
        <v>203</v>
      </c>
      <c r="B23" t="inlineStr">
        <is>
          <t>3 — Trades</t>
        </is>
      </c>
      <c r="C23" t="n">
        <v>24</v>
      </c>
      <c r="D23" t="inlineStr">
        <is>
          <t>Add Trade — Source Picker</t>
        </is>
      </c>
      <c r="E23" t="inlineStr">
        <is>
          <t>P0</t>
        </is>
      </c>
      <c r="F23" t="inlineStr">
        <is>
          <t>Click **Add Trade**.</t>
        </is>
      </c>
      <c r="G23" t="inlineStr">
        <is>
          <t>Source picker lists backtest sessions and journals.</t>
        </is>
      </c>
      <c r="H23" t="inlineStr">
        <is>
          <t>— Not tested</t>
        </is>
      </c>
      <c r="I23" t="inlineStr">
        <is>
          <t>— Not tested</t>
        </is>
      </c>
      <c r="J23" t="inlineStr">
        <is>
          <t>— Not tested</t>
        </is>
      </c>
    </row>
    <row r="24">
      <c r="A24" t="n">
        <v>204</v>
      </c>
      <c r="B24" t="inlineStr">
        <is>
          <t>3 — Trades</t>
        </is>
      </c>
      <c r="C24" t="n">
        <v>24</v>
      </c>
      <c r="D24" t="inlineStr">
        <is>
          <t>Add Trade — Source Picker</t>
        </is>
      </c>
      <c r="E24" t="inlineStr">
        <is>
          <t>P2</t>
        </is>
      </c>
      <c r="F24" t="inlineStr">
        <is>
          <t>If only one eligible source, verify auto-select to editor.</t>
        </is>
      </c>
      <c r="G24" t="inlineStr">
        <is>
          <t>Skips picker when single source.</t>
        </is>
      </c>
      <c r="H24" t="inlineStr">
        <is>
          <t>— Not tested</t>
        </is>
      </c>
      <c r="I24" t="inlineStr">
        <is>
          <t>— Not tested</t>
        </is>
      </c>
      <c r="J24" t="inlineStr">
        <is>
          <t>— Not tested</t>
        </is>
      </c>
    </row>
    <row r="25">
      <c r="A25" t="n">
        <v>205</v>
      </c>
      <c r="B25" t="inlineStr">
        <is>
          <t>3 — Trades</t>
        </is>
      </c>
      <c r="C25" t="n">
        <v>24</v>
      </c>
      <c r="D25" t="inlineStr">
        <is>
          <t>Add Trade — Source Picker</t>
        </is>
      </c>
      <c r="E25" t="inlineStr">
        <is>
          <t>P0</t>
        </is>
      </c>
      <c r="F25" t="inlineStr">
        <is>
          <t>Select a **backtest session** source.</t>
        </is>
      </c>
      <c r="G25" t="inlineStr">
        <is>
          <t>Add Trade editor opens scoped to that session.</t>
        </is>
      </c>
      <c r="H25" t="inlineStr">
        <is>
          <t>— Not tested</t>
        </is>
      </c>
      <c r="I25" t="inlineStr">
        <is>
          <t>— Not tested</t>
        </is>
      </c>
      <c r="J25" t="inlineStr">
        <is>
          <t>— Not tested</t>
        </is>
      </c>
    </row>
    <row r="26">
      <c r="A26" t="n">
        <v>206</v>
      </c>
      <c r="B26" t="inlineStr">
        <is>
          <t>3 — Trades</t>
        </is>
      </c>
      <c r="C26" t="n">
        <v>24</v>
      </c>
      <c r="D26" t="inlineStr">
        <is>
          <t>Add Trade — Source Picker</t>
        </is>
      </c>
      <c r="E26" t="inlineStr">
        <is>
          <t>P0</t>
        </is>
      </c>
      <c r="F26" t="inlineStr">
        <is>
          <t>Select a **journal** source.</t>
        </is>
      </c>
      <c r="G26" t="inlineStr">
        <is>
          <t>Editor opens with journal-specific tabs (Discipline).</t>
        </is>
      </c>
      <c r="H26" t="inlineStr">
        <is>
          <t>— Not tested</t>
        </is>
      </c>
      <c r="I26" t="inlineStr">
        <is>
          <t>— Not tested</t>
        </is>
      </c>
      <c r="J26" t="inlineStr">
        <is>
          <t>— Not tested</t>
        </is>
      </c>
    </row>
    <row r="27">
      <c r="A27" t="n">
        <v>207</v>
      </c>
      <c r="B27" t="inlineStr">
        <is>
          <t>3 — Trades</t>
        </is>
      </c>
      <c r="C27" t="n">
        <v>24</v>
      </c>
      <c r="D27" t="inlineStr">
        <is>
          <t>Add Trade — Source Picker</t>
        </is>
      </c>
      <c r="E27" t="inlineStr">
        <is>
          <t>P2</t>
        </is>
      </c>
      <c r="F27" t="inlineStr">
        <is>
          <t>First-time warning modal — read and dismiss.</t>
        </is>
      </c>
      <c r="G27" t="inlineStr">
        <is>
          <t>Modal closes; checkbox “Don’t show again” works.</t>
        </is>
      </c>
      <c r="H27" t="inlineStr">
        <is>
          <t>— Not tested</t>
        </is>
      </c>
      <c r="I27" t="inlineStr">
        <is>
          <t>— Not tested</t>
        </is>
      </c>
      <c r="J27" t="inlineStr">
        <is>
          <t>— Not tested</t>
        </is>
      </c>
    </row>
    <row r="28">
      <c r="A28" t="n">
        <v>208</v>
      </c>
      <c r="B28" t="inlineStr">
        <is>
          <t>3 — Trades</t>
        </is>
      </c>
      <c r="C28" t="n">
        <v>25</v>
      </c>
      <c r="D28" t="inlineStr">
        <is>
          <t>Add Trade — Trade &amp; Risk Tab</t>
        </is>
      </c>
      <c r="E28" t="inlineStr">
        <is>
          <t>P0</t>
        </is>
      </c>
      <c r="F28" t="inlineStr">
        <is>
          <t>**Symbol** — open searchable dropdown; pick symbol.</t>
        </is>
      </c>
      <c r="G28" t="inlineStr">
        <is>
          <t>Symbol must be from source instrument list.</t>
        </is>
      </c>
      <c r="H28" t="inlineStr">
        <is>
          <t>— Not tested</t>
        </is>
      </c>
      <c r="I28" t="inlineStr">
        <is>
          <t>— Not tested</t>
        </is>
      </c>
      <c r="J28" t="inlineStr">
        <is>
          <t>— Not tested</t>
        </is>
      </c>
    </row>
    <row r="29">
      <c r="A29" t="n">
        <v>209</v>
      </c>
      <c r="B29" t="inlineStr">
        <is>
          <t>3 — Trades</t>
        </is>
      </c>
      <c r="C29" t="n">
        <v>25</v>
      </c>
      <c r="D29" t="inlineStr">
        <is>
          <t>Add Trade — Trade &amp; Risk Tab</t>
        </is>
      </c>
      <c r="E29" t="inlineStr">
        <is>
          <t>P0</t>
        </is>
      </c>
      <c r="F29" t="inlineStr">
        <is>
          <t>**Side** — toggle Long / Short.</t>
        </is>
      </c>
      <c r="G29" t="inlineStr">
        <is>
          <t>Side updates; SL/TP validation rules flip.</t>
        </is>
      </c>
      <c r="H29" t="inlineStr">
        <is>
          <t>— Not tested</t>
        </is>
      </c>
      <c r="I29" t="inlineStr">
        <is>
          <t>— Not tested</t>
        </is>
      </c>
      <c r="J29" t="inlineStr">
        <is>
          <t>— Not tested</t>
        </is>
      </c>
    </row>
    <row r="30">
      <c r="A30" t="n">
        <v>210</v>
      </c>
      <c r="B30" t="inlineStr">
        <is>
          <t>3 — Trades</t>
        </is>
      </c>
      <c r="C30" t="n">
        <v>25</v>
      </c>
      <c r="D30" t="inlineStr">
        <is>
          <t>Add Trade — Trade &amp; Risk Tab</t>
        </is>
      </c>
      <c r="E30" t="inlineStr">
        <is>
          <t>P2</t>
        </is>
      </c>
      <c r="F30" t="inlineStr">
        <is>
          <t>**Market** type field if shown.</t>
        </is>
      </c>
      <c r="G30" t="inlineStr">
        <is>
          <t>Market saves.</t>
        </is>
      </c>
      <c r="H30" t="inlineStr">
        <is>
          <t>— Not tested</t>
        </is>
      </c>
      <c r="I30" t="inlineStr">
        <is>
          <t>— Not tested</t>
        </is>
      </c>
      <c r="J30" t="inlineStr">
        <is>
          <t>— Not tested</t>
        </is>
      </c>
    </row>
    <row r="31">
      <c r="A31" t="n">
        <v>211</v>
      </c>
      <c r="B31" t="inlineStr">
        <is>
          <t>3 — Trades</t>
        </is>
      </c>
      <c r="C31" t="n">
        <v>25</v>
      </c>
      <c r="D31" t="inlineStr">
        <is>
          <t>Add Trade — Trade &amp; Risk Tab</t>
        </is>
      </c>
      <c r="E31" t="inlineStr">
        <is>
          <t>P0</t>
        </is>
      </c>
      <c r="F31" t="inlineStr">
        <is>
          <t>**Entry date** — open calendar; pick date.</t>
        </is>
      </c>
      <c r="G31" t="inlineStr">
        <is>
          <t>Date populates.</t>
        </is>
      </c>
      <c r="H31" t="inlineStr">
        <is>
          <t>— Not tested</t>
        </is>
      </c>
      <c r="I31" t="inlineStr">
        <is>
          <t>— Not tested</t>
        </is>
      </c>
      <c r="J31" t="inlineStr">
        <is>
          <t>— Not tested</t>
        </is>
      </c>
    </row>
    <row r="32">
      <c r="A32" t="n">
        <v>212</v>
      </c>
      <c r="B32" t="inlineStr">
        <is>
          <t>3 — Trades</t>
        </is>
      </c>
      <c r="C32" t="n">
        <v>25</v>
      </c>
      <c r="D32" t="inlineStr">
        <is>
          <t>Add Trade — Trade &amp; Risk Tab</t>
        </is>
      </c>
      <c r="E32" t="inlineStr">
        <is>
          <t>P1</t>
        </is>
      </c>
      <c r="F32" t="inlineStr">
        <is>
          <t>**Entry time** — set time; toggle 12h/24h or UTC/local if available.</t>
        </is>
      </c>
      <c r="G32" t="inlineStr">
        <is>
          <t>Time saves correctly.</t>
        </is>
      </c>
      <c r="H32" t="inlineStr">
        <is>
          <t>— Not tested</t>
        </is>
      </c>
      <c r="I32" t="inlineStr">
        <is>
          <t>— Not tested</t>
        </is>
      </c>
      <c r="J32" t="inlineStr">
        <is>
          <t>— Not tested</t>
        </is>
      </c>
    </row>
    <row r="33">
      <c r="A33" t="n">
        <v>213</v>
      </c>
      <c r="B33" t="inlineStr">
        <is>
          <t>3 — Trades</t>
        </is>
      </c>
      <c r="C33" t="n">
        <v>25</v>
      </c>
      <c r="D33" t="inlineStr">
        <is>
          <t>Add Trade — Trade &amp; Risk Tab</t>
        </is>
      </c>
      <c r="E33" t="inlineStr">
        <is>
          <t>P0</t>
        </is>
      </c>
      <c r="F33" t="inlineStr">
        <is>
          <t>**Entry rows** — row 1: enter price + quantity; use +/- steppers.</t>
        </is>
      </c>
      <c r="G33" t="inlineStr">
        <is>
          <t>Steppers increment values.</t>
        </is>
      </c>
      <c r="H33" t="inlineStr">
        <is>
          <t>— Not tested</t>
        </is>
      </c>
      <c r="I33" t="inlineStr">
        <is>
          <t>— Not tested</t>
        </is>
      </c>
      <c r="J33" t="inlineStr">
        <is>
          <t>— Not tested</t>
        </is>
      </c>
    </row>
    <row r="34">
      <c r="A34" t="n">
        <v>214</v>
      </c>
      <c r="B34" t="inlineStr">
        <is>
          <t>3 — Trades</t>
        </is>
      </c>
      <c r="C34" t="n">
        <v>25</v>
      </c>
      <c r="D34" t="inlineStr">
        <is>
          <t>Add Trade — Trade &amp; Risk Tab</t>
        </is>
      </c>
      <c r="E34" t="inlineStr">
        <is>
          <t>P1</t>
        </is>
      </c>
      <c r="F34" t="inlineStr">
        <is>
          <t>Add **second entry row** (scale-in).</t>
        </is>
      </c>
      <c r="G34" t="inlineStr">
        <is>
          <t>Multiple entries; avg entry recalculates.</t>
        </is>
      </c>
      <c r="H34" t="inlineStr">
        <is>
          <t>— Not tested</t>
        </is>
      </c>
      <c r="I34" t="inlineStr">
        <is>
          <t>— Not tested</t>
        </is>
      </c>
      <c r="J34" t="inlineStr">
        <is>
          <t>— Not tested</t>
        </is>
      </c>
    </row>
    <row r="35">
      <c r="A35" t="n">
        <v>215</v>
      </c>
      <c r="B35" t="inlineStr">
        <is>
          <t>3 — Trades</t>
        </is>
      </c>
      <c r="C35" t="n">
        <v>25</v>
      </c>
      <c r="D35" t="inlineStr">
        <is>
          <t>Add Trade — Trade &amp; Risk Tab</t>
        </is>
      </c>
      <c r="E35" t="inlineStr">
        <is>
          <t>P0</t>
        </is>
      </c>
      <c r="F35" t="inlineStr">
        <is>
          <t>**Stop loss** — enter price.</t>
        </is>
      </c>
      <c r="G35" t="inlineStr">
        <is>
          <t>Required field; live risk preview updates.</t>
        </is>
      </c>
      <c r="H35" t="inlineStr">
        <is>
          <t>— Not tested</t>
        </is>
      </c>
      <c r="I35" t="inlineStr">
        <is>
          <t>— Not tested</t>
        </is>
      </c>
      <c r="J35" t="inlineStr">
        <is>
          <t>— Not tested</t>
        </is>
      </c>
    </row>
    <row r="36">
      <c r="A36" t="n">
        <v>216</v>
      </c>
      <c r="B36" t="inlineStr">
        <is>
          <t>3 — Trades</t>
        </is>
      </c>
      <c r="C36" t="n">
        <v>25</v>
      </c>
      <c r="D36" t="inlineStr">
        <is>
          <t>Add Trade — Trade &amp; Risk Tab</t>
        </is>
      </c>
      <c r="E36" t="inlineStr">
        <is>
          <t>P1</t>
        </is>
      </c>
      <c r="F36" t="inlineStr">
        <is>
          <t>**Targets** — add target price row.</t>
        </is>
      </c>
      <c r="G36" t="inlineStr">
        <is>
          <t>Planned R updates in preview.</t>
        </is>
      </c>
      <c r="H36" t="inlineStr">
        <is>
          <t>— Not tested</t>
        </is>
      </c>
      <c r="I36" t="inlineStr">
        <is>
          <t>— Not tested</t>
        </is>
      </c>
      <c r="J36" t="inlineStr">
        <is>
          <t>— Not tested</t>
        </is>
      </c>
    </row>
    <row r="37">
      <c r="A37" t="n">
        <v>217</v>
      </c>
      <c r="B37" t="inlineStr">
        <is>
          <t>3 — Trades</t>
        </is>
      </c>
      <c r="C37" t="n">
        <v>25</v>
      </c>
      <c r="D37" t="inlineStr">
        <is>
          <t>Add Trade — Trade &amp; Risk Tab</t>
        </is>
      </c>
      <c r="E37" t="inlineStr">
        <is>
          <t>P1</t>
        </is>
      </c>
      <c r="F37" t="inlineStr">
        <is>
          <t>**Exits** — add actual exit row with price + qty.</t>
        </is>
      </c>
      <c r="G37" t="inlineStr">
        <is>
          <t>Exit size tracked.</t>
        </is>
      </c>
      <c r="H37" t="inlineStr">
        <is>
          <t>— Not tested</t>
        </is>
      </c>
      <c r="I37" t="inlineStr">
        <is>
          <t>— Not tested</t>
        </is>
      </c>
      <c r="J37" t="inlineStr">
        <is>
          <t>— Not tested</t>
        </is>
      </c>
    </row>
    <row r="38">
      <c r="A38" t="n">
        <v>218</v>
      </c>
      <c r="B38" t="inlineStr">
        <is>
          <t>3 — Trades</t>
        </is>
      </c>
      <c r="C38" t="n">
        <v>25</v>
      </c>
      <c r="D38" t="inlineStr">
        <is>
          <t>Add Trade — Trade &amp; Risk Tab</t>
        </is>
      </c>
      <c r="E38" t="inlineStr">
        <is>
          <t>P1</t>
        </is>
      </c>
      <c r="F38" t="inlineStr">
        <is>
          <t>Toggle **exit timing** (exit date/time).</t>
        </is>
      </c>
      <c r="G38" t="inlineStr">
        <is>
          <t>Exit date fields appear.</t>
        </is>
      </c>
      <c r="H38" t="inlineStr">
        <is>
          <t>— Not tested</t>
        </is>
      </c>
      <c r="I38" t="inlineStr">
        <is>
          <t>— Not tested</t>
        </is>
      </c>
      <c r="J38" t="inlineStr">
        <is>
          <t>— Not tested</t>
        </is>
      </c>
    </row>
    <row r="39">
      <c r="A39" t="n">
        <v>219</v>
      </c>
      <c r="B39" t="inlineStr">
        <is>
          <t>3 — Trades</t>
        </is>
      </c>
      <c r="C39" t="n">
        <v>25</v>
      </c>
      <c r="D39" t="inlineStr">
        <is>
          <t>Add Trade — Trade &amp; Risk Tab</t>
        </is>
      </c>
      <c r="E39" t="inlineStr">
        <is>
          <t>P1</t>
        </is>
      </c>
      <c r="F39" t="inlineStr">
        <is>
          <t>**Commission**, **spread**, **slippage** fields.</t>
        </is>
      </c>
      <c r="G39" t="inlineStr">
        <is>
          <t>P&amp;L preview adjusts.</t>
        </is>
      </c>
      <c r="H39" t="inlineStr">
        <is>
          <t>— Not tested</t>
        </is>
      </c>
      <c r="I39" t="inlineStr">
        <is>
          <t>— Not tested</t>
        </is>
      </c>
      <c r="J39" t="inlineStr">
        <is>
          <t>— Not tested</t>
        </is>
      </c>
    </row>
    <row r="40">
      <c r="A40" t="n">
        <v>220</v>
      </c>
      <c r="B40" t="inlineStr">
        <is>
          <t>3 — Trades</t>
        </is>
      </c>
      <c r="C40" t="n">
        <v>25</v>
      </c>
      <c r="D40" t="inlineStr">
        <is>
          <t>Add Trade — Trade &amp; Risk Tab</t>
        </is>
      </c>
      <c r="E40" t="inlineStr">
        <is>
          <t>P2</t>
        </is>
      </c>
      <c r="F40" t="inlineStr">
        <is>
          <t>**Risk %** field.</t>
        </is>
      </c>
      <c r="G40" t="inlineStr">
        <is>
          <t>Risk calculation updates.</t>
        </is>
      </c>
      <c r="H40" t="inlineStr">
        <is>
          <t>— Not tested</t>
        </is>
      </c>
      <c r="I40" t="inlineStr">
        <is>
          <t>— Not tested</t>
        </is>
      </c>
      <c r="J40" t="inlineStr">
        <is>
          <t>— Not tested</t>
        </is>
      </c>
    </row>
    <row r="41">
      <c r="A41" t="n">
        <v>221</v>
      </c>
      <c r="B41" t="inlineStr">
        <is>
          <t>3 — Trades</t>
        </is>
      </c>
      <c r="C41" t="n">
        <v>25</v>
      </c>
      <c r="D41" t="inlineStr">
        <is>
          <t>Add Trade — Trade &amp; Risk Tab</t>
        </is>
      </c>
      <c r="E41" t="inlineStr">
        <is>
          <t>P1</t>
        </is>
      </c>
      <c r="F41" t="inlineStr">
        <is>
          <t>**Excursion mode** — None / Standard / Extended.</t>
        </is>
      </c>
      <c r="G41" t="inlineStr">
        <is>
          <t>High/low fields show for standard+.</t>
        </is>
      </c>
      <c r="H41" t="inlineStr">
        <is>
          <t>— Not tested</t>
        </is>
      </c>
      <c r="I41" t="inlineStr">
        <is>
          <t>— Not tested</t>
        </is>
      </c>
      <c r="J41" t="inlineStr">
        <is>
          <t>— Not tested</t>
        </is>
      </c>
    </row>
    <row r="42">
      <c r="A42" t="n">
        <v>222</v>
      </c>
      <c r="B42" t="inlineStr">
        <is>
          <t>3 — Trades</t>
        </is>
      </c>
      <c r="C42" t="n">
        <v>25</v>
      </c>
      <c r="D42" t="inlineStr">
        <is>
          <t>Add Trade — Trade &amp; Risk Tab</t>
        </is>
      </c>
      <c r="E42" t="inlineStr">
        <is>
          <t>P1</t>
        </is>
      </c>
      <c r="F42" t="inlineStr">
        <is>
          <t>Enter **highest price** and **lowest price** during trade.</t>
        </is>
      </c>
      <c r="G42" t="inlineStr">
        <is>
          <t>MFE/MAE metrics calculate.</t>
        </is>
      </c>
      <c r="H42" t="inlineStr">
        <is>
          <t>— Not tested</t>
        </is>
      </c>
      <c r="I42" t="inlineStr">
        <is>
          <t>— Not tested</t>
        </is>
      </c>
      <c r="J42" t="inlineStr">
        <is>
          <t>— Not tested</t>
        </is>
      </c>
    </row>
    <row r="43">
      <c r="A43" t="n">
        <v>223</v>
      </c>
      <c r="B43" t="inlineStr">
        <is>
          <t>3 — Trades</t>
        </is>
      </c>
      <c r="C43" t="n">
        <v>25</v>
      </c>
      <c r="D43" t="inlineStr">
        <is>
          <t>Add Trade — Trade &amp; Risk Tab</t>
        </is>
      </c>
      <c r="E43" t="inlineStr">
        <is>
          <t>P2</t>
        </is>
      </c>
      <c r="F43" t="inlineStr">
        <is>
          <t>Extended: **post-exit high/low** + **window**.</t>
        </is>
      </c>
      <c r="G43" t="inlineStr">
        <is>
          <t>Post-exit excursion validates.</t>
        </is>
      </c>
      <c r="H43" t="inlineStr">
        <is>
          <t>— Not tested</t>
        </is>
      </c>
      <c r="I43" t="inlineStr">
        <is>
          <t>— Not tested</t>
        </is>
      </c>
      <c r="J43" t="inlineStr">
        <is>
          <t>— Not tested</t>
        </is>
      </c>
    </row>
    <row r="44">
      <c r="A44" t="n">
        <v>224</v>
      </c>
      <c r="B44" t="inlineStr">
        <is>
          <t>3 — Trades</t>
        </is>
      </c>
      <c r="C44" t="n">
        <v>25</v>
      </c>
      <c r="D44" t="inlineStr">
        <is>
          <t>Add Trade — Trade &amp; Risk Tab</t>
        </is>
      </c>
      <c r="E44" t="inlineStr">
        <is>
          <t>P1</t>
        </is>
      </c>
      <c r="F44" t="inlineStr">
        <is>
          <t>Verify **live P&amp;L preview** graph updates as you type.</t>
        </is>
      </c>
      <c r="G44" t="inlineStr">
        <is>
          <t>Chart/preview reacts to inputs.</t>
        </is>
      </c>
      <c r="H44" t="inlineStr">
        <is>
          <t>— Not tested</t>
        </is>
      </c>
      <c r="I44" t="inlineStr">
        <is>
          <t>— Not tested</t>
        </is>
      </c>
      <c r="J44" t="inlineStr">
        <is>
          <t>— Not tested</t>
        </is>
      </c>
    </row>
    <row r="45">
      <c r="A45" t="n">
        <v>225</v>
      </c>
      <c r="B45" t="inlineStr">
        <is>
          <t>3 — Trades</t>
        </is>
      </c>
      <c r="C45" t="n">
        <v>26</v>
      </c>
      <c r="D45" t="inlineStr">
        <is>
          <t>Add Trade — Tags, Discipline, Notes</t>
        </is>
      </c>
      <c r="E45" t="inlineStr">
        <is>
          <t>P0</t>
        </is>
      </c>
      <c r="F45" t="inlineStr">
        <is>
          <t>Go to **Tags** tab (arrow or tab click).</t>
        </is>
      </c>
      <c r="G45" t="inlineStr">
        <is>
          <t>Pre-tags and post-tags sections visible.</t>
        </is>
      </c>
      <c r="H45" t="inlineStr">
        <is>
          <t>— Not tested</t>
        </is>
      </c>
      <c r="I45" t="inlineStr">
        <is>
          <t>— Not tested</t>
        </is>
      </c>
      <c r="J45" t="inlineStr">
        <is>
          <t>— Not tested</t>
        </is>
      </c>
    </row>
    <row r="46">
      <c r="A46" t="n">
        <v>226</v>
      </c>
      <c r="B46" t="inlineStr">
        <is>
          <t>3 — Trades</t>
        </is>
      </c>
      <c r="C46" t="n">
        <v>26</v>
      </c>
      <c r="D46" t="inlineStr">
        <is>
          <t>Add Trade — Tags, Discipline, Notes</t>
        </is>
      </c>
      <c r="E46" t="inlineStr">
        <is>
          <t>P1</t>
        </is>
      </c>
      <c r="F46" t="inlineStr">
        <is>
          <t>Select **pre-trade tags** from strategy presets.</t>
        </is>
      </c>
      <c r="G46" t="inlineStr">
        <is>
          <t>Tags apply to trade.</t>
        </is>
      </c>
      <c r="H46" t="inlineStr">
        <is>
          <t>— Not tested</t>
        </is>
      </c>
      <c r="I46" t="inlineStr">
        <is>
          <t>— Not tested</t>
        </is>
      </c>
      <c r="J46" t="inlineStr">
        <is>
          <t>— Not tested</t>
        </is>
      </c>
    </row>
    <row r="47">
      <c r="A47" t="n">
        <v>227</v>
      </c>
      <c r="B47" t="inlineStr">
        <is>
          <t>3 — Trades</t>
        </is>
      </c>
      <c r="C47" t="n">
        <v>26</v>
      </c>
      <c r="D47" t="inlineStr">
        <is>
          <t>Add Trade — Tags, Discipline, Notes</t>
        </is>
      </c>
      <c r="E47" t="inlineStr">
        <is>
          <t>P1</t>
        </is>
      </c>
      <c r="F47" t="inlineStr">
        <is>
          <t>Select **post-trade tags**.</t>
        </is>
      </c>
      <c r="G47" t="inlineStr">
        <is>
          <t>Tags apply.</t>
        </is>
      </c>
      <c r="H47" t="inlineStr">
        <is>
          <t>— Not tested</t>
        </is>
      </c>
      <c r="I47" t="inlineStr">
        <is>
          <t>— Not tested</t>
        </is>
      </c>
      <c r="J47" t="inlineStr">
        <is>
          <t>— Not tested</t>
        </is>
      </c>
    </row>
    <row r="48">
      <c r="A48" t="n">
        <v>228</v>
      </c>
      <c r="B48" t="inlineStr">
        <is>
          <t>3 — Trades</t>
        </is>
      </c>
      <c r="C48" t="n">
        <v>26</v>
      </c>
      <c r="D48" t="inlineStr">
        <is>
          <t>Add Trade — Tags, Discipline, Notes</t>
        </is>
      </c>
      <c r="E48" t="inlineStr">
        <is>
          <t>P0</t>
        </is>
      </c>
      <c r="F48" t="inlineStr">
        <is>
          <t>**Strategy / Setup** dropdown — required for journal backtest trades.</t>
        </is>
      </c>
      <c r="G48" t="inlineStr">
        <is>
          <t>Must select before save.</t>
        </is>
      </c>
      <c r="H48" t="inlineStr">
        <is>
          <t>— Not tested</t>
        </is>
      </c>
      <c r="I48" t="inlineStr">
        <is>
          <t>— Not tested</t>
        </is>
      </c>
      <c r="J48" t="inlineStr">
        <is>
          <t>— Not tested</t>
        </is>
      </c>
    </row>
    <row r="49">
      <c r="A49" t="n">
        <v>229</v>
      </c>
      <c r="B49" t="inlineStr">
        <is>
          <t>3 — Trades</t>
        </is>
      </c>
      <c r="C49" t="n">
        <v>26</v>
      </c>
      <c r="D49" t="inlineStr">
        <is>
          <t>Add Trade — Tags, Discipline, Notes</t>
        </is>
      </c>
      <c r="E49" t="inlineStr">
        <is>
          <t>P1</t>
        </is>
      </c>
      <c r="F49" t="inlineStr">
        <is>
          <t>Go to **Discipline** tab (journal sources only).</t>
        </is>
      </c>
      <c r="G49" t="inlineStr">
        <is>
          <t>Plan review, demon patterns, behavior tags visible.</t>
        </is>
      </c>
      <c r="H49" t="inlineStr">
        <is>
          <t>— Not tested</t>
        </is>
      </c>
      <c r="I49" t="inlineStr">
        <is>
          <t>— Not tested</t>
        </is>
      </c>
      <c r="J49" t="inlineStr">
        <is>
          <t>— Not tested</t>
        </is>
      </c>
    </row>
    <row r="50">
      <c r="A50" t="n">
        <v>230</v>
      </c>
      <c r="B50" t="inlineStr">
        <is>
          <t>3 — Trades</t>
        </is>
      </c>
      <c r="C50" t="n">
        <v>26</v>
      </c>
      <c r="D50" t="inlineStr">
        <is>
          <t>Add Trade — Tags, Discipline, Notes</t>
        </is>
      </c>
      <c r="E50" t="inlineStr">
        <is>
          <t>P2</t>
        </is>
      </c>
      <c r="F50" t="inlineStr">
        <is>
          <t>Fill discipline fields.</t>
        </is>
      </c>
      <c r="G50" t="inlineStr">
        <is>
          <t>Values save on trade.</t>
        </is>
      </c>
      <c r="H50" t="inlineStr">
        <is>
          <t>— Not tested</t>
        </is>
      </c>
      <c r="I50" t="inlineStr">
        <is>
          <t>— Not tested</t>
        </is>
      </c>
      <c r="J50" t="inlineStr">
        <is>
          <t>— Not tested</t>
        </is>
      </c>
    </row>
    <row r="51">
      <c r="A51" t="n">
        <v>231</v>
      </c>
      <c r="B51" t="inlineStr">
        <is>
          <t>3 — Trades</t>
        </is>
      </c>
      <c r="C51" t="n">
        <v>26</v>
      </c>
      <c r="D51" t="inlineStr">
        <is>
          <t>Add Trade — Tags, Discipline, Notes</t>
        </is>
      </c>
      <c r="E51" t="inlineStr">
        <is>
          <t>P0</t>
        </is>
      </c>
      <c r="F51" t="inlineStr">
        <is>
          <t>Go to **Notes &amp; Screenshots** tab.</t>
        </is>
      </c>
      <c r="G51" t="inlineStr">
        <is>
          <t>Pre/post notes text areas visible.</t>
        </is>
      </c>
      <c r="H51" t="inlineStr">
        <is>
          <t>— Not tested</t>
        </is>
      </c>
      <c r="I51" t="inlineStr">
        <is>
          <t>— Not tested</t>
        </is>
      </c>
      <c r="J51" t="inlineStr">
        <is>
          <t>— Not tested</t>
        </is>
      </c>
    </row>
    <row r="52">
      <c r="A52" t="n">
        <v>232</v>
      </c>
      <c r="B52" t="inlineStr">
        <is>
          <t>3 — Trades</t>
        </is>
      </c>
      <c r="C52" t="n">
        <v>26</v>
      </c>
      <c r="D52" t="inlineStr">
        <is>
          <t>Add Trade — Tags, Discipline, Notes</t>
        </is>
      </c>
      <c r="E52" t="inlineStr">
        <is>
          <t>P1</t>
        </is>
      </c>
      <c r="F52" t="inlineStr">
        <is>
          <t>Type **pre-trade notes** and **post-trade notes**.</t>
        </is>
      </c>
      <c r="G52" t="inlineStr">
        <is>
          <t>Text persists on save.</t>
        </is>
      </c>
      <c r="H52" t="inlineStr">
        <is>
          <t>— Not tested</t>
        </is>
      </c>
      <c r="I52" t="inlineStr">
        <is>
          <t>— Not tested</t>
        </is>
      </c>
      <c r="J52" t="inlineStr">
        <is>
          <t>— Not tested</t>
        </is>
      </c>
    </row>
    <row r="53">
      <c r="A53" t="n">
        <v>233</v>
      </c>
      <c r="B53" t="inlineStr">
        <is>
          <t>3 — Trades</t>
        </is>
      </c>
      <c r="C53" t="n">
        <v>26</v>
      </c>
      <c r="D53" t="inlineStr">
        <is>
          <t>Add Trade — Tags, Discipline, Notes</t>
        </is>
      </c>
      <c r="E53" t="inlineStr">
        <is>
          <t>P1</t>
        </is>
      </c>
      <c r="F53" t="inlineStr">
        <is>
          <t>Upload **pre screenshot** and **post screenshot**.</t>
        </is>
      </c>
      <c r="G53" t="inlineStr">
        <is>
          <t>Thumbnails appear.</t>
        </is>
      </c>
      <c r="H53" t="inlineStr">
        <is>
          <t>— Not tested</t>
        </is>
      </c>
      <c r="I53" t="inlineStr">
        <is>
          <t>— Not tested</t>
        </is>
      </c>
      <c r="J53" t="inlineStr">
        <is>
          <t>— Not tested</t>
        </is>
      </c>
    </row>
    <row r="54">
      <c r="A54" t="n">
        <v>234</v>
      </c>
      <c r="B54" t="inlineStr">
        <is>
          <t>3 — Trades</t>
        </is>
      </c>
      <c r="C54" t="n">
        <v>27</v>
      </c>
      <c r="D54" t="inlineStr">
        <is>
          <t>Add Trade — Save &amp; Edit</t>
        </is>
      </c>
      <c r="E54" t="inlineStr">
        <is>
          <t>P0</t>
        </is>
      </c>
      <c r="F54" t="inlineStr">
        <is>
          <t>Fill valid trade → click **Save**.</t>
        </is>
      </c>
      <c r="G54" t="inlineStr">
        <is>
          <t>Trade appears in table; modal closes.</t>
        </is>
      </c>
      <c r="H54" t="inlineStr">
        <is>
          <t>— Not tested</t>
        </is>
      </c>
      <c r="I54" t="inlineStr">
        <is>
          <t>— Not tested</t>
        </is>
      </c>
      <c r="J54" t="inlineStr">
        <is>
          <t>— Not tested</t>
        </is>
      </c>
    </row>
    <row r="55">
      <c r="A55" t="n">
        <v>235</v>
      </c>
      <c r="B55" t="inlineStr">
        <is>
          <t>3 — Trades</t>
        </is>
      </c>
      <c r="C55" t="n">
        <v>27</v>
      </c>
      <c r="D55" t="inlineStr">
        <is>
          <t>Add Trade — Save &amp; Edit</t>
        </is>
      </c>
      <c r="E55" t="inlineStr">
        <is>
          <t>P1</t>
        </is>
      </c>
      <c r="F55" t="inlineStr">
        <is>
          <t>Fill valid trade → click **Save &amp; Add Another**.</t>
        </is>
      </c>
      <c r="G55" t="inlineStr">
        <is>
          <t>Trade saves; form resets for next entry.</t>
        </is>
      </c>
      <c r="H55" t="inlineStr">
        <is>
          <t>— Not tested</t>
        </is>
      </c>
      <c r="I55" t="inlineStr">
        <is>
          <t>— Not tested</t>
        </is>
      </c>
      <c r="J55" t="inlineStr">
        <is>
          <t>— Not tested</t>
        </is>
      </c>
    </row>
    <row r="56">
      <c r="A56" t="n">
        <v>236</v>
      </c>
      <c r="B56" t="inlineStr">
        <is>
          <t>3 — Trades</t>
        </is>
      </c>
      <c r="C56" t="n">
        <v>27</v>
      </c>
      <c r="D56" t="inlineStr">
        <is>
          <t>Add Trade — Save &amp; Edit</t>
        </is>
      </c>
      <c r="E56" t="inlineStr">
        <is>
          <t>P0</t>
        </is>
      </c>
      <c r="F56" t="inlineStr">
        <is>
          <t>Edit existing trade from table → change SL → Save.</t>
        </is>
      </c>
      <c r="G56" t="inlineStr">
        <is>
          <t>Changes reflect in table and expanded row.</t>
        </is>
      </c>
      <c r="H56" t="inlineStr">
        <is>
          <t>— Not tested</t>
        </is>
      </c>
      <c r="I56" t="inlineStr">
        <is>
          <t>— Not tested</t>
        </is>
      </c>
      <c r="J56" t="inlineStr">
        <is>
          <t>— Not tested</t>
        </is>
      </c>
    </row>
    <row r="57">
      <c r="A57" t="n">
        <v>237</v>
      </c>
      <c r="B57" t="inlineStr">
        <is>
          <t>3 — Trades</t>
        </is>
      </c>
      <c r="C57" t="n">
        <v>27</v>
      </c>
      <c r="D57" t="inlineStr">
        <is>
          <t>Add Trade — Save &amp; Edit</t>
        </is>
      </c>
      <c r="E57" t="inlineStr">
        <is>
          <t>P2</t>
        </is>
      </c>
      <c r="F57" t="inlineStr">
        <is>
          <t>Delete trade if delete action exists.</t>
        </is>
      </c>
      <c r="G57" t="inlineStr">
        <is>
          <t>Trade removed from list.</t>
        </is>
      </c>
      <c r="H57" t="inlineStr">
        <is>
          <t>— Not tested</t>
        </is>
      </c>
      <c r="I57" t="inlineStr">
        <is>
          <t>— Not tested</t>
        </is>
      </c>
      <c r="J57" t="inlineStr">
        <is>
          <t>— Not tested</t>
        </is>
      </c>
    </row>
    <row r="58">
      <c r="A58" t="n">
        <v>238</v>
      </c>
      <c r="B58" t="inlineStr">
        <is>
          <t>3 — Trades</t>
        </is>
      </c>
      <c r="C58" t="n">
        <v>28</v>
      </c>
      <c r="D58" t="inlineStr">
        <is>
          <t>Add Trade — Validation (test each error)</t>
        </is>
      </c>
      <c r="E58" t="inlineStr">
        <is>
          <t>P0</t>
        </is>
      </c>
      <c r="F58" t="inlineStr">
        <is>
          <t>Wrong symbol (not in source instrument list) → Save.</t>
        </is>
      </c>
      <c r="G58" t="inlineStr">
        <is>
          <t>Error: instrument must belong to source.</t>
        </is>
      </c>
      <c r="H58" t="inlineStr">
        <is>
          <t>— Not tested</t>
        </is>
      </c>
      <c r="I58" t="inlineStr">
        <is>
          <t>— Not tested</t>
        </is>
      </c>
      <c r="J58" t="inlineStr">
        <is>
          <t>— Not tested</t>
        </is>
      </c>
    </row>
    <row r="59">
      <c r="A59" t="n">
        <v>239</v>
      </c>
      <c r="B59" t="inlineStr">
        <is>
          <t>3 — Trades</t>
        </is>
      </c>
      <c r="C59" t="n">
        <v>28</v>
      </c>
      <c r="D59" t="inlineStr">
        <is>
          <t>Add Trade — Validation (test each error)</t>
        </is>
      </c>
      <c r="E59" t="inlineStr">
        <is>
          <t>P0</t>
        </is>
      </c>
      <c r="F59" t="inlineStr">
        <is>
          <t>Journal trade without strategy/setup → Save.</t>
        </is>
      </c>
      <c r="G59" t="inlineStr">
        <is>
          <t>Error: choose strategy for journal trade.</t>
        </is>
      </c>
      <c r="H59" t="inlineStr">
        <is>
          <t>— Not tested</t>
        </is>
      </c>
      <c r="I59" t="inlineStr">
        <is>
          <t>— Not tested</t>
        </is>
      </c>
      <c r="J59" t="inlineStr">
        <is>
          <t>— Not tested</t>
        </is>
      </c>
    </row>
    <row r="60">
      <c r="A60" t="n">
        <v>240</v>
      </c>
      <c r="B60" t="inlineStr">
        <is>
          <t>3 — Trades</t>
        </is>
      </c>
      <c r="C60" t="n">
        <v>28</v>
      </c>
      <c r="D60" t="inlineStr">
        <is>
          <t>Add Trade — Validation (test each error)</t>
        </is>
      </c>
      <c r="E60" t="inlineStr">
        <is>
          <t>P0</t>
        </is>
      </c>
      <c r="F60" t="inlineStr">
        <is>
          <t>Empty entry date/time → Save.</t>
        </is>
      </c>
      <c r="G60" t="inlineStr">
        <is>
          <t>Error: entry date and time required.</t>
        </is>
      </c>
      <c r="H60" t="inlineStr">
        <is>
          <t>— Not tested</t>
        </is>
      </c>
      <c r="I60" t="inlineStr">
        <is>
          <t>— Not tested</t>
        </is>
      </c>
      <c r="J60" t="inlineStr">
        <is>
          <t>— Not tested</t>
        </is>
      </c>
    </row>
    <row r="61">
      <c r="A61" t="n">
        <v>241</v>
      </c>
      <c r="B61" t="inlineStr">
        <is>
          <t>3 — Trades</t>
        </is>
      </c>
      <c r="C61" t="n">
        <v>28</v>
      </c>
      <c r="D61" t="inlineStr">
        <is>
          <t>Add Trade — Validation (test each error)</t>
        </is>
      </c>
      <c r="E61" t="inlineStr">
        <is>
          <t>P0</t>
        </is>
      </c>
      <c r="F61" t="inlineStr">
        <is>
          <t>Entry date **before** session start → Save.</t>
        </is>
      </c>
      <c r="G61" t="inlineStr">
        <is>
          <t>Error: within session date range.</t>
        </is>
      </c>
      <c r="H61" t="inlineStr">
        <is>
          <t>— Not tested</t>
        </is>
      </c>
      <c r="I61" t="inlineStr">
        <is>
          <t>— Not tested</t>
        </is>
      </c>
      <c r="J61" t="inlineStr">
        <is>
          <t>— Not tested</t>
        </is>
      </c>
    </row>
    <row r="62">
      <c r="A62" t="n">
        <v>242</v>
      </c>
      <c r="B62" t="inlineStr">
        <is>
          <t>3 — Trades</t>
        </is>
      </c>
      <c r="C62" t="n">
        <v>28</v>
      </c>
      <c r="D62" t="inlineStr">
        <is>
          <t>Add Trade — Validation (test each error)</t>
        </is>
      </c>
      <c r="E62" t="inlineStr">
        <is>
          <t>P0</t>
        </is>
      </c>
      <c r="F62" t="inlineStr">
        <is>
          <t>Entry date **after** session end → Save.</t>
        </is>
      </c>
      <c r="G62" t="inlineStr">
        <is>
          <t>Error: within session date range.</t>
        </is>
      </c>
      <c r="H62" t="inlineStr">
        <is>
          <t>— Not tested</t>
        </is>
      </c>
      <c r="I62" t="inlineStr">
        <is>
          <t>— Not tested</t>
        </is>
      </c>
      <c r="J62" t="inlineStr">
        <is>
          <t>— Not tested</t>
        </is>
      </c>
    </row>
    <row r="63">
      <c r="A63" t="n">
        <v>243</v>
      </c>
      <c r="B63" t="inlineStr">
        <is>
          <t>3 — Trades</t>
        </is>
      </c>
      <c r="C63" t="n">
        <v>28</v>
      </c>
      <c r="D63" t="inlineStr">
        <is>
          <t>Add Trade — Validation (test each error)</t>
        </is>
      </c>
      <c r="E63" t="inlineStr">
        <is>
          <t>P0</t>
        </is>
      </c>
      <c r="F63" t="inlineStr">
        <is>
          <t>**Future** entry date (live journal) → Save.</t>
        </is>
      </c>
      <c r="G63" t="inlineStr">
        <is>
          <t>Error: cannot be in future.</t>
        </is>
      </c>
      <c r="H63" t="inlineStr">
        <is>
          <t>— Not tested</t>
        </is>
      </c>
      <c r="I63" t="inlineStr">
        <is>
          <t>— Not tested</t>
        </is>
      </c>
      <c r="J63" t="inlineStr">
        <is>
          <t>— Not tested</t>
        </is>
      </c>
    </row>
    <row r="64">
      <c r="A64" t="n">
        <v>244</v>
      </c>
      <c r="B64" t="inlineStr">
        <is>
          <t>3 — Trades</t>
        </is>
      </c>
      <c r="C64" t="n">
        <v>28</v>
      </c>
      <c r="D64" t="inlineStr">
        <is>
          <t>Add Trade — Validation (test each error)</t>
        </is>
      </c>
      <c r="E64" t="inlineStr">
        <is>
          <t>P0</t>
        </is>
      </c>
      <c r="F64" t="inlineStr">
        <is>
          <t>Entry row with price=0 or qty=0 → Save.</t>
        </is>
      </c>
      <c r="G64" t="inlineStr">
        <is>
          <t>Error: price and size &gt; 0.</t>
        </is>
      </c>
      <c r="H64" t="inlineStr">
        <is>
          <t>— Not tested</t>
        </is>
      </c>
      <c r="I64" t="inlineStr">
        <is>
          <t>— Not tested</t>
        </is>
      </c>
      <c r="J64" t="inlineStr">
        <is>
          <t>— Not tested</t>
        </is>
      </c>
    </row>
    <row r="65">
      <c r="A65" t="n">
        <v>245</v>
      </c>
      <c r="B65" t="inlineStr">
        <is>
          <t>3 — Trades</t>
        </is>
      </c>
      <c r="C65" t="n">
        <v>28</v>
      </c>
      <c r="D65" t="inlineStr">
        <is>
          <t>Add Trade — Validation (test each error)</t>
        </is>
      </c>
      <c r="E65" t="inlineStr">
        <is>
          <t>P0</t>
        </is>
      </c>
      <c r="F65" t="inlineStr">
        <is>
          <t>Missing **stop loss** → Save.</t>
        </is>
      </c>
      <c r="G65" t="inlineStr">
        <is>
          <t>Error: stop loss required.</t>
        </is>
      </c>
      <c r="H65" t="inlineStr">
        <is>
          <t>— Not tested</t>
        </is>
      </c>
      <c r="I65" t="inlineStr">
        <is>
          <t>— Not tested</t>
        </is>
      </c>
      <c r="J65" t="inlineStr">
        <is>
          <t>— Not tested</t>
        </is>
      </c>
    </row>
    <row r="66">
      <c r="A66" t="n">
        <v>246</v>
      </c>
      <c r="B66" t="inlineStr">
        <is>
          <t>3 — Trades</t>
        </is>
      </c>
      <c r="C66" t="n">
        <v>28</v>
      </c>
      <c r="D66" t="inlineStr">
        <is>
          <t>Add Trade — Validation (test each error)</t>
        </is>
      </c>
      <c r="E66" t="inlineStr">
        <is>
          <t>P0</t>
        </is>
      </c>
      <c r="F66" t="inlineStr">
        <is>
          <t>**Long** with SL above entry → Save.</t>
        </is>
      </c>
      <c r="G66" t="inlineStr">
        <is>
          <t>Error: SL must be below entries.</t>
        </is>
      </c>
      <c r="H66" t="inlineStr">
        <is>
          <t>— Not tested</t>
        </is>
      </c>
      <c r="I66" t="inlineStr">
        <is>
          <t>— Not tested</t>
        </is>
      </c>
      <c r="J66" t="inlineStr">
        <is>
          <t>— Not tested</t>
        </is>
      </c>
    </row>
    <row r="67">
      <c r="A67" t="n">
        <v>247</v>
      </c>
      <c r="B67" t="inlineStr">
        <is>
          <t>3 — Trades</t>
        </is>
      </c>
      <c r="C67" t="n">
        <v>28</v>
      </c>
      <c r="D67" t="inlineStr">
        <is>
          <t>Add Trade — Validation (test each error)</t>
        </is>
      </c>
      <c r="E67" t="inlineStr">
        <is>
          <t>P0</t>
        </is>
      </c>
      <c r="F67" t="inlineStr">
        <is>
          <t>**Short** with SL below entry → Save.</t>
        </is>
      </c>
      <c r="G67" t="inlineStr">
        <is>
          <t>Error: SL must be above entries.</t>
        </is>
      </c>
      <c r="H67" t="inlineStr">
        <is>
          <t>— Not tested</t>
        </is>
      </c>
      <c r="I67" t="inlineStr">
        <is>
          <t>— Not tested</t>
        </is>
      </c>
      <c r="J67" t="inlineStr">
        <is>
          <t>— Not tested</t>
        </is>
      </c>
    </row>
    <row r="68">
      <c r="A68" t="n">
        <v>248</v>
      </c>
      <c r="B68" t="inlineStr">
        <is>
          <t>3 — Trades</t>
        </is>
      </c>
      <c r="C68" t="n">
        <v>28</v>
      </c>
      <c r="D68" t="inlineStr">
        <is>
          <t>Add Trade — Validation (test each error)</t>
        </is>
      </c>
      <c r="E68" t="inlineStr">
        <is>
          <t>P0</t>
        </is>
      </c>
      <c r="F68" t="inlineStr">
        <is>
          <t>**Long** with target below entry → Save.</t>
        </is>
      </c>
      <c r="G68" t="inlineStr">
        <is>
          <t>Error: targets above entries.</t>
        </is>
      </c>
      <c r="H68" t="inlineStr">
        <is>
          <t>— Not tested</t>
        </is>
      </c>
      <c r="I68" t="inlineStr">
        <is>
          <t>— Not tested</t>
        </is>
      </c>
      <c r="J68" t="inlineStr">
        <is>
          <t>— Not tested</t>
        </is>
      </c>
    </row>
    <row r="69">
      <c r="A69" t="n">
        <v>249</v>
      </c>
      <c r="B69" t="inlineStr">
        <is>
          <t>3 — Trades</t>
        </is>
      </c>
      <c r="C69" t="n">
        <v>28</v>
      </c>
      <c r="D69" t="inlineStr">
        <is>
          <t>Add Trade — Validation (test each error)</t>
        </is>
      </c>
      <c r="E69" t="inlineStr">
        <is>
          <t>P0</t>
        </is>
      </c>
      <c r="F69" t="inlineStr">
        <is>
          <t>**Short** with target above entry → Save.</t>
        </is>
      </c>
      <c r="G69" t="inlineStr">
        <is>
          <t>Error: targets below entries.</t>
        </is>
      </c>
      <c r="H69" t="inlineStr">
        <is>
          <t>— Not tested</t>
        </is>
      </c>
      <c r="I69" t="inlineStr">
        <is>
          <t>— Not tested</t>
        </is>
      </c>
      <c r="J69" t="inlineStr">
        <is>
          <t>— Not tested</t>
        </is>
      </c>
    </row>
    <row r="70">
      <c r="A70" t="n">
        <v>250</v>
      </c>
      <c r="B70" t="inlineStr">
        <is>
          <t>3 — Trades</t>
        </is>
      </c>
      <c r="C70" t="n">
        <v>28</v>
      </c>
      <c r="D70" t="inlineStr">
        <is>
          <t>Add Trade — Validation (test each error)</t>
        </is>
      </c>
      <c r="E70" t="inlineStr">
        <is>
          <t>P0</t>
        </is>
      </c>
      <c r="F70" t="inlineStr">
        <is>
          <t>Exit size **greater than** entry size → Save.</t>
        </is>
      </c>
      <c r="G70" t="inlineStr">
        <is>
          <t>Error: exited size exceeds entered.</t>
        </is>
      </c>
      <c r="H70" t="inlineStr">
        <is>
          <t>— Not tested</t>
        </is>
      </c>
      <c r="I70" t="inlineStr">
        <is>
          <t>— Not tested</t>
        </is>
      </c>
      <c r="J70" t="inlineStr">
        <is>
          <t>— Not tested</t>
        </is>
      </c>
    </row>
    <row r="71">
      <c r="A71" t="n">
        <v>251</v>
      </c>
      <c r="B71" t="inlineStr">
        <is>
          <t>3 — Trades</t>
        </is>
      </c>
      <c r="C71" t="n">
        <v>28</v>
      </c>
      <c r="D71" t="inlineStr">
        <is>
          <t>Add Trade — Validation (test each error)</t>
        </is>
      </c>
      <c r="E71" t="inlineStr">
        <is>
          <t>P1</t>
        </is>
      </c>
      <c r="F71" t="inlineStr">
        <is>
          <t>Actual exit rows without **exit timing** enabled → Save.</t>
        </is>
      </c>
      <c r="G71" t="inlineStr">
        <is>
          <t>Error: enable exit time or clear exits.</t>
        </is>
      </c>
      <c r="H71" t="inlineStr">
        <is>
          <t>— Not tested</t>
        </is>
      </c>
      <c r="I71" t="inlineStr">
        <is>
          <t>— Not tested</t>
        </is>
      </c>
      <c r="J71" t="inlineStr">
        <is>
          <t>— Not tested</t>
        </is>
      </c>
    </row>
    <row r="72">
      <c r="A72" t="n">
        <v>252</v>
      </c>
      <c r="B72" t="inlineStr">
        <is>
          <t>3 — Trades</t>
        </is>
      </c>
      <c r="C72" t="n">
        <v>28</v>
      </c>
      <c r="D72" t="inlineStr">
        <is>
          <t>Add Trade — Validation (test each error)</t>
        </is>
      </c>
      <c r="E72" t="inlineStr">
        <is>
          <t>P0</t>
        </is>
      </c>
      <c r="F72" t="inlineStr">
        <is>
          <t>Exit time **before** entry time → Save.</t>
        </is>
      </c>
      <c r="G72" t="inlineStr">
        <is>
          <t>Error: exit after entry.</t>
        </is>
      </c>
      <c r="H72" t="inlineStr">
        <is>
          <t>— Not tested</t>
        </is>
      </c>
      <c r="I72" t="inlineStr">
        <is>
          <t>— Not tested</t>
        </is>
      </c>
      <c r="J72" t="inlineStr">
        <is>
          <t>— Not tested</t>
        </is>
      </c>
    </row>
    <row r="73">
      <c r="A73" t="n">
        <v>253</v>
      </c>
      <c r="B73" t="inlineStr">
        <is>
          <t>3 — Trades</t>
        </is>
      </c>
      <c r="C73" t="n">
        <v>28</v>
      </c>
      <c r="D73" t="inlineStr">
        <is>
          <t>Add Trade — Validation (test each error)</t>
        </is>
      </c>
      <c r="E73" t="inlineStr">
        <is>
          <t>P1</t>
        </is>
      </c>
      <c r="F73" t="inlineStr">
        <is>
          <t>Excursion: high **below** low → Save.</t>
        </is>
      </c>
      <c r="G73" t="inlineStr">
        <is>
          <t>Error: high must be above low.</t>
        </is>
      </c>
      <c r="H73" t="inlineStr">
        <is>
          <t>— Not tested</t>
        </is>
      </c>
      <c r="I73" t="inlineStr">
        <is>
          <t>— Not tested</t>
        </is>
      </c>
      <c r="J73" t="inlineStr">
        <is>
          <t>— Not tested</t>
        </is>
      </c>
    </row>
    <row r="74">
      <c r="A74" t="n">
        <v>254</v>
      </c>
      <c r="B74" t="inlineStr">
        <is>
          <t>3 — Trades</t>
        </is>
      </c>
      <c r="C74" t="n">
        <v>28</v>
      </c>
      <c r="D74" t="inlineStr">
        <is>
          <t>Add Trade — Validation (test each error)</t>
        </is>
      </c>
      <c r="E74" t="inlineStr">
        <is>
          <t>P1</t>
        </is>
      </c>
      <c r="F74" t="inlineStr">
        <is>
          <t>Negative commission → Save.</t>
        </is>
      </c>
      <c r="G74" t="inlineStr">
        <is>
          <t>Error: must be zero or greater.</t>
        </is>
      </c>
      <c r="H74" t="inlineStr">
        <is>
          <t>— Not tested</t>
        </is>
      </c>
      <c r="I74" t="inlineStr">
        <is>
          <t>— Not tested</t>
        </is>
      </c>
      <c r="J74" t="inlineStr">
        <is>
          <t>— Not tested</t>
        </is>
      </c>
    </row>
    <row r="75">
      <c r="A75" t="n">
        <v>255</v>
      </c>
      <c r="B75" t="inlineStr">
        <is>
          <t>3 — Trades</t>
        </is>
      </c>
      <c r="C75" t="n">
        <v>28</v>
      </c>
      <c r="D75" t="inlineStr">
        <is>
          <t>Add Trade — Validation (test each error)</t>
        </is>
      </c>
      <c r="E75" t="inlineStr">
        <is>
          <t>P2</t>
        </is>
      </c>
      <c r="F75" t="inlineStr">
        <is>
          <t>Very wide stop (huge R) → Save.</t>
        </is>
      </c>
      <c r="G75" t="inlineStr">
        <is>
          <t>Warning (non-blocking): unusually large R.</t>
        </is>
      </c>
      <c r="H75" t="inlineStr">
        <is>
          <t>— Not tested</t>
        </is>
      </c>
      <c r="I75" t="inlineStr">
        <is>
          <t>— Not tested</t>
        </is>
      </c>
      <c r="J75" t="inlineStr">
        <is>
          <t>— Not tested</t>
        </is>
      </c>
    </row>
    <row r="76">
      <c r="A76" t="n">
        <v>256</v>
      </c>
      <c r="B76" t="inlineStr">
        <is>
          <t>3 — Trades</t>
        </is>
      </c>
      <c r="C76" t="n">
        <v>28</v>
      </c>
      <c r="D76" t="inlineStr">
        <is>
          <t>Add Trade — Validation (test each error)</t>
        </is>
      </c>
      <c r="E76" t="inlineStr">
        <is>
          <t>P2</t>
        </is>
      </c>
      <c r="F76" t="inlineStr">
        <is>
          <t>No target set → Save.</t>
        </is>
      </c>
      <c r="G76" t="inlineStr">
        <is>
          <t>Warning: planned R blank.</t>
        </is>
      </c>
      <c r="H76" t="inlineStr">
        <is>
          <t>— Not tested</t>
        </is>
      </c>
      <c r="I76" t="inlineStr">
        <is>
          <t>— Not tested</t>
        </is>
      </c>
      <c r="J76" t="inlineStr">
        <is>
          <t>— Not tested</t>
        </is>
      </c>
    </row>
  </sheetData>
  <dataValidations count="2">
    <dataValidation sqref="H2:I76" showDropDown="0" showInputMessage="0" showErrorMessage="0" allowBlank="1" type="list">
      <formula1>"☑ Pass,☐ Fail,⚠ Partial,— Not tested"</formula1>
    </dataValidation>
    <dataValidation sqref="J2:J76" showDropDown="0" showInputMessage="0" showErrorMessage="0" allowBlank="1" type="list">
      <formula1>"☑ Yes,☐ No,— Not tested"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7" customWidth="1" min="3" max="3"/>
    <col width="28" customWidth="1" min="4" max="4"/>
    <col width="8" customWidth="1" min="5" max="5"/>
    <col width="52" customWidth="1" min="6" max="6"/>
    <col width="40" customWidth="1" min="7" max="7"/>
    <col width="14" customWidth="1" min="8" max="8"/>
    <col width="14" customWidth="1" min="9" max="9"/>
    <col width="10" customWidth="1" min="10" max="10"/>
    <col width="36" customWidth="1" min="11" max="11"/>
    <col width="12" customWidth="1" min="12" max="12"/>
  </cols>
  <sheetData>
    <row r="1">
      <c r="A1" s="14" t="inlineStr">
        <is>
          <t>Step #</t>
        </is>
      </c>
      <c r="B1" s="14" t="inlineStr">
        <is>
          <t>Section</t>
        </is>
      </c>
      <c r="C1" s="14" t="inlineStr">
        <is>
          <t>Phase</t>
        </is>
      </c>
      <c r="D1" s="14" t="inlineStr">
        <is>
          <t>Phase Name</t>
        </is>
      </c>
      <c r="E1" s="14" t="inlineStr">
        <is>
          <t>Priority</t>
        </is>
      </c>
      <c r="F1" s="14" t="inlineStr">
        <is>
          <t>What to Do</t>
        </is>
      </c>
      <c r="G1" s="14" t="inlineStr">
        <is>
          <t>Expected Result</t>
        </is>
      </c>
      <c r="H1" s="14" t="inlineStr">
        <is>
          <t>Tester A</t>
        </is>
      </c>
      <c r="I1" s="14" t="inlineStr">
        <is>
          <t>Tester B</t>
        </is>
      </c>
      <c r="J1" s="14" t="inlineStr">
        <is>
          <t>Issue?</t>
        </is>
      </c>
      <c r="K1" s="14" t="inlineStr">
        <is>
          <t>Comments</t>
        </is>
      </c>
      <c r="L1" s="14" t="inlineStr">
        <is>
          <t>Date</t>
        </is>
      </c>
    </row>
    <row r="2">
      <c r="A2" t="n">
        <v>257</v>
      </c>
      <c r="B2" t="inlineStr">
        <is>
          <t>4 — Sources</t>
        </is>
      </c>
      <c r="C2" t="n">
        <v>29</v>
      </c>
      <c r="D2" t="inlineStr">
        <is>
          <t>Open Sources Library</t>
        </is>
      </c>
      <c r="E2" t="inlineStr">
        <is>
          <t>P0</t>
        </is>
      </c>
      <c r="F2" t="inlineStr">
        <is>
          <t>From **Dashboard**, click the **source chip/banner** in header.</t>
        </is>
      </c>
      <c r="G2" t="inlineStr">
        <is>
          <t>Sources library overlay opens.</t>
        </is>
      </c>
      <c r="H2" t="inlineStr">
        <is>
          <t>— Not tested</t>
        </is>
      </c>
      <c r="I2" t="inlineStr">
        <is>
          <t>— Not tested</t>
        </is>
      </c>
      <c r="J2" t="inlineStr">
        <is>
          <t>— Not tested</t>
        </is>
      </c>
    </row>
    <row r="3">
      <c r="A3" t="n">
        <v>258</v>
      </c>
      <c r="B3" t="inlineStr">
        <is>
          <t>4 — Sources</t>
        </is>
      </c>
      <c r="C3" t="n">
        <v>29</v>
      </c>
      <c r="D3" t="inlineStr">
        <is>
          <t>Open Sources Library</t>
        </is>
      </c>
      <c r="E3" t="inlineStr">
        <is>
          <t>P0</t>
        </is>
      </c>
      <c r="F3" t="inlineStr">
        <is>
          <t>Close with **Cancel**; from **Trades** click source switcher.</t>
        </is>
      </c>
      <c r="G3" t="inlineStr">
        <is>
          <t>Same library opens.</t>
        </is>
      </c>
      <c r="H3" t="inlineStr">
        <is>
          <t>— Not tested</t>
        </is>
      </c>
      <c r="I3" t="inlineStr">
        <is>
          <t>— Not tested</t>
        </is>
      </c>
      <c r="J3" t="inlineStr">
        <is>
          <t>— Not tested</t>
        </is>
      </c>
    </row>
    <row r="4">
      <c r="A4" t="n">
        <v>259</v>
      </c>
      <c r="B4" t="inlineStr">
        <is>
          <t>4 — Sources</t>
        </is>
      </c>
      <c r="C4" t="n">
        <v>29</v>
      </c>
      <c r="D4" t="inlineStr">
        <is>
          <t>Open Sources Library</t>
        </is>
      </c>
      <c r="E4" t="inlineStr">
        <is>
          <t>P1</t>
        </is>
      </c>
      <c r="F4" t="inlineStr">
        <is>
          <t>From Compare mode, open compare source picker.</t>
        </is>
      </c>
      <c r="G4" t="inlineStr">
        <is>
          <t>Library/compare shell opens.</t>
        </is>
      </c>
      <c r="H4" t="inlineStr">
        <is>
          <t>— Not tested</t>
        </is>
      </c>
      <c r="I4" t="inlineStr">
        <is>
          <t>— Not tested</t>
        </is>
      </c>
      <c r="J4" t="inlineStr">
        <is>
          <t>— Not tested</t>
        </is>
      </c>
    </row>
    <row r="5">
      <c r="A5" t="n">
        <v>260</v>
      </c>
      <c r="B5" t="inlineStr">
        <is>
          <t>4 — Sources</t>
        </is>
      </c>
      <c r="C5" t="n">
        <v>30</v>
      </c>
      <c r="D5" t="inlineStr">
        <is>
          <t>Sources — Tree &amp; Category Filters</t>
        </is>
      </c>
      <c r="E5" t="inlineStr">
        <is>
          <t>P0</t>
        </is>
      </c>
      <c r="F5" t="inlineStr">
        <is>
          <t>Locate **Source Tree** left panel.</t>
        </is>
      </c>
      <c r="G5" t="inlineStr">
        <is>
          <t>Tree shows Backtest Sessions and Live Journals.</t>
        </is>
      </c>
      <c r="H5" t="inlineStr">
        <is>
          <t>— Not tested</t>
        </is>
      </c>
      <c r="I5" t="inlineStr">
        <is>
          <t>— Not tested</t>
        </is>
      </c>
      <c r="J5" t="inlineStr">
        <is>
          <t>— Not tested</t>
        </is>
      </c>
    </row>
    <row r="6">
      <c r="A6" t="n">
        <v>261</v>
      </c>
      <c r="B6" t="inlineStr">
        <is>
          <t>4 — Sources</t>
        </is>
      </c>
      <c r="C6" t="n">
        <v>30</v>
      </c>
      <c r="D6" t="inlineStr">
        <is>
          <t>Sources — Tree &amp; Category Filters</t>
        </is>
      </c>
      <c r="E6" t="inlineStr">
        <is>
          <t>P0</t>
        </is>
      </c>
      <c r="F6" t="inlineStr">
        <is>
          <t>Expand **Backtest Sessions** → **Standard** / **Prop Firm**.</t>
        </is>
      </c>
      <c r="G6" t="inlineStr">
        <is>
          <t>Child nodes list sessions.</t>
        </is>
      </c>
      <c r="H6" t="inlineStr">
        <is>
          <t>— Not tested</t>
        </is>
      </c>
      <c r="I6" t="inlineStr">
        <is>
          <t>— Not tested</t>
        </is>
      </c>
      <c r="J6" t="inlineStr">
        <is>
          <t>— Not tested</t>
        </is>
      </c>
    </row>
    <row r="7">
      <c r="A7" t="n">
        <v>262</v>
      </c>
      <c r="B7" t="inlineStr">
        <is>
          <t>4 — Sources</t>
        </is>
      </c>
      <c r="C7" t="n">
        <v>30</v>
      </c>
      <c r="D7" t="inlineStr">
        <is>
          <t>Sources — Tree &amp; Category Filters</t>
        </is>
      </c>
      <c r="E7" t="inlineStr">
        <is>
          <t>P0</t>
        </is>
      </c>
      <c r="F7" t="inlineStr">
        <is>
          <t>Expand **Live Journals** → **Personal** / **Prop**.</t>
        </is>
      </c>
      <c r="G7" t="inlineStr">
        <is>
          <t>Journal accounts/entries listed.</t>
        </is>
      </c>
      <c r="H7" t="inlineStr">
        <is>
          <t>— Not tested</t>
        </is>
      </c>
      <c r="I7" t="inlineStr">
        <is>
          <t>— Not tested</t>
        </is>
      </c>
      <c r="J7" t="inlineStr">
        <is>
          <t>— Not tested</t>
        </is>
      </c>
    </row>
    <row r="8">
      <c r="A8" t="n">
        <v>263</v>
      </c>
      <c r="B8" t="inlineStr">
        <is>
          <t>4 — Sources</t>
        </is>
      </c>
      <c r="C8" t="n">
        <v>30</v>
      </c>
      <c r="D8" t="inlineStr">
        <is>
          <t>Sources — Tree &amp; Category Filters</t>
        </is>
      </c>
      <c r="E8" t="inlineStr">
        <is>
          <t>P1</t>
        </is>
      </c>
      <c r="F8" t="inlineStr">
        <is>
          <t>Click **Standard** mode filter.</t>
        </is>
      </c>
      <c r="G8" t="inlineStr">
        <is>
          <t>Only standard sessions in list.</t>
        </is>
      </c>
      <c r="H8" t="inlineStr">
        <is>
          <t>— Not tested</t>
        </is>
      </c>
      <c r="I8" t="inlineStr">
        <is>
          <t>— Not tested</t>
        </is>
      </c>
      <c r="J8" t="inlineStr">
        <is>
          <t>— Not tested</t>
        </is>
      </c>
    </row>
    <row r="9">
      <c r="A9" t="n">
        <v>264</v>
      </c>
      <c r="B9" t="inlineStr">
        <is>
          <t>4 — Sources</t>
        </is>
      </c>
      <c r="C9" t="n">
        <v>30</v>
      </c>
      <c r="D9" t="inlineStr">
        <is>
          <t>Sources — Tree &amp; Category Filters</t>
        </is>
      </c>
      <c r="E9" t="inlineStr">
        <is>
          <t>P1</t>
        </is>
      </c>
      <c r="F9" t="inlineStr">
        <is>
          <t>Click **Prop** mode filter.</t>
        </is>
      </c>
      <c r="G9" t="inlineStr">
        <is>
          <t>Only prop sessions.</t>
        </is>
      </c>
      <c r="H9" t="inlineStr">
        <is>
          <t>— Not tested</t>
        </is>
      </c>
      <c r="I9" t="inlineStr">
        <is>
          <t>— Not tested</t>
        </is>
      </c>
      <c r="J9" t="inlineStr">
        <is>
          <t>— Not tested</t>
        </is>
      </c>
    </row>
    <row r="10">
      <c r="A10" t="n">
        <v>265</v>
      </c>
      <c r="B10" t="inlineStr">
        <is>
          <t>4 — Sources</t>
        </is>
      </c>
      <c r="C10" t="n">
        <v>30</v>
      </c>
      <c r="D10" t="inlineStr">
        <is>
          <t>Sources — Tree &amp; Category Filters</t>
        </is>
      </c>
      <c r="E10" t="inlineStr">
        <is>
          <t>P1</t>
        </is>
      </c>
      <c r="F10" t="inlineStr">
        <is>
          <t>Status filter: **All / Not Started / Active / Completed**.</t>
        </is>
      </c>
      <c r="G10" t="inlineStr">
        <is>
          <t>List filters by progress.</t>
        </is>
      </c>
      <c r="H10" t="inlineStr">
        <is>
          <t>— Not tested</t>
        </is>
      </c>
      <c r="I10" t="inlineStr">
        <is>
          <t>— Not tested</t>
        </is>
      </c>
      <c r="J10" t="inlineStr">
        <is>
          <t>— Not tested</t>
        </is>
      </c>
    </row>
    <row r="11">
      <c r="A11" t="n">
        <v>266</v>
      </c>
      <c r="B11" t="inlineStr">
        <is>
          <t>4 — Sources</t>
        </is>
      </c>
      <c r="C11" t="n">
        <v>30</v>
      </c>
      <c r="D11" t="inlineStr">
        <is>
          <t>Sources — Tree &amp; Category Filters</t>
        </is>
      </c>
      <c r="E11" t="inlineStr">
        <is>
          <t>P1</t>
        </is>
      </c>
      <c r="F11" t="inlineStr">
        <is>
          <t>Journal type filters (Personal vs Prop).</t>
        </is>
      </c>
      <c r="G11" t="inlineStr">
        <is>
          <t>Journal list filters.</t>
        </is>
      </c>
      <c r="H11" t="inlineStr">
        <is>
          <t>— Not tested</t>
        </is>
      </c>
      <c r="I11" t="inlineStr">
        <is>
          <t>— Not tested</t>
        </is>
      </c>
      <c r="J11" t="inlineStr">
        <is>
          <t>— Not tested</t>
        </is>
      </c>
    </row>
    <row r="12">
      <c r="A12" t="n">
        <v>267</v>
      </c>
      <c r="B12" t="inlineStr">
        <is>
          <t>4 — Sources</t>
        </is>
      </c>
      <c r="C12" t="n">
        <v>30</v>
      </c>
      <c r="D12" t="inlineStr">
        <is>
          <t>Sources — Tree &amp; Category Filters</t>
        </is>
      </c>
      <c r="E12" t="inlineStr">
        <is>
          <t>P1</t>
        </is>
      </c>
      <c r="F12" t="inlineStr">
        <is>
          <t>Expand a **strategy group** node.</t>
        </is>
      </c>
      <c r="G12" t="inlineStr">
        <is>
          <t>Child sessions/journals under strategy appear.</t>
        </is>
      </c>
      <c r="H12" t="inlineStr">
        <is>
          <t>— Not tested</t>
        </is>
      </c>
      <c r="I12" t="inlineStr">
        <is>
          <t>— Not tested</t>
        </is>
      </c>
      <c r="J12" t="inlineStr">
        <is>
          <t>— Not tested</t>
        </is>
      </c>
    </row>
    <row r="13">
      <c r="A13" t="n">
        <v>268</v>
      </c>
      <c r="B13" t="inlineStr">
        <is>
          <t>4 — Sources</t>
        </is>
      </c>
      <c r="C13" t="n">
        <v>30</v>
      </c>
      <c r="D13" t="inlineStr">
        <is>
          <t>Sources — Tree &amp; Category Filters</t>
        </is>
      </c>
      <c r="E13" t="inlineStr">
        <is>
          <t>P2</t>
        </is>
      </c>
      <c r="F13" t="inlineStr">
        <is>
          <t>Collapse strategy group.</t>
        </is>
      </c>
      <c r="G13" t="inlineStr">
        <is>
          <t>Children hide.</t>
        </is>
      </c>
      <c r="H13" t="inlineStr">
        <is>
          <t>— Not tested</t>
        </is>
      </c>
      <c r="I13" t="inlineStr">
        <is>
          <t>— Not tested</t>
        </is>
      </c>
      <c r="J13" t="inlineStr">
        <is>
          <t>— Not tested</t>
        </is>
      </c>
    </row>
    <row r="14">
      <c r="A14" t="n">
        <v>269</v>
      </c>
      <c r="B14" t="inlineStr">
        <is>
          <t>4 — Sources</t>
        </is>
      </c>
      <c r="C14" t="n">
        <v>31</v>
      </c>
      <c r="D14" t="inlineStr">
        <is>
          <t>Sources — List, Selection &amp; Footer</t>
        </is>
      </c>
      <c r="E14" t="inlineStr">
        <is>
          <t>P0</t>
        </is>
      </c>
      <c r="F14" t="inlineStr">
        <is>
          <t>Click a **session row** in content list.</t>
        </is>
      </c>
      <c r="G14" t="inlineStr">
        <is>
          <t>Row highlights as selected.</t>
        </is>
      </c>
      <c r="H14" t="inlineStr">
        <is>
          <t>— Not tested</t>
        </is>
      </c>
      <c r="I14" t="inlineStr">
        <is>
          <t>— Not tested</t>
        </is>
      </c>
      <c r="J14" t="inlineStr">
        <is>
          <t>— Not tested</t>
        </is>
      </c>
    </row>
    <row r="15">
      <c r="A15" t="n">
        <v>270</v>
      </c>
      <c r="B15" t="inlineStr">
        <is>
          <t>4 — Sources</t>
        </is>
      </c>
      <c r="C15" t="n">
        <v>31</v>
      </c>
      <c r="D15" t="inlineStr">
        <is>
          <t>Sources — List, Selection &amp; Footer</t>
        </is>
      </c>
      <c r="E15" t="inlineStr">
        <is>
          <t>P1</t>
        </is>
      </c>
      <c r="F15" t="inlineStr">
        <is>
          <t>Verify row shows: name, date range, trade count, market label.</t>
        </is>
      </c>
      <c r="G15" t="inlineStr">
        <is>
          <t>Metadata correct.</t>
        </is>
      </c>
      <c r="H15" t="inlineStr">
        <is>
          <t>— Not tested</t>
        </is>
      </c>
      <c r="I15" t="inlineStr">
        <is>
          <t>— Not tested</t>
        </is>
      </c>
      <c r="J15" t="inlineStr">
        <is>
          <t>— Not tested</t>
        </is>
      </c>
    </row>
    <row r="16">
      <c r="A16" t="n">
        <v>271</v>
      </c>
      <c r="B16" t="inlineStr">
        <is>
          <t>4 — Sources</t>
        </is>
      </c>
      <c r="C16" t="n">
        <v>31</v>
      </c>
      <c r="D16" t="inlineStr">
        <is>
          <t>Sources — List, Selection &amp; Footer</t>
        </is>
      </c>
      <c r="E16" t="inlineStr">
        <is>
          <t>P1</t>
        </is>
      </c>
      <c r="F16" t="inlineStr">
        <is>
          <t>Select a **journal account** row.</t>
        </is>
      </c>
      <c r="G16" t="inlineStr">
        <is>
          <t>Account details and trade count show.</t>
        </is>
      </c>
      <c r="H16" t="inlineStr">
        <is>
          <t>— Not tested</t>
        </is>
      </c>
      <c r="I16" t="inlineStr">
        <is>
          <t>— Not tested</t>
        </is>
      </c>
      <c r="J16" t="inlineStr">
        <is>
          <t>— Not tested</t>
        </is>
      </c>
    </row>
    <row r="17">
      <c r="A17" t="n">
        <v>272</v>
      </c>
      <c r="B17" t="inlineStr">
        <is>
          <t>4 — Sources</t>
        </is>
      </c>
      <c r="C17" t="n">
        <v>31</v>
      </c>
      <c r="D17" t="inlineStr">
        <is>
          <t>Sources — List, Selection &amp; Footer</t>
        </is>
      </c>
      <c r="E17" t="inlineStr">
        <is>
          <t>P2</t>
        </is>
      </c>
      <c r="F17" t="inlineStr">
        <is>
          <t>Select a **journal entry** (single trade scope).</t>
        </is>
      </c>
      <c r="G17" t="inlineStr">
        <is>
          <t>Single-trade source selected.</t>
        </is>
      </c>
      <c r="H17" t="inlineStr">
        <is>
          <t>— Not tested</t>
        </is>
      </c>
      <c r="I17" t="inlineStr">
        <is>
          <t>— Not tested</t>
        </is>
      </c>
      <c r="J17" t="inlineStr">
        <is>
          <t>— Not tested</t>
        </is>
      </c>
    </row>
    <row r="18">
      <c r="A18" t="n">
        <v>273</v>
      </c>
      <c r="B18" t="inlineStr">
        <is>
          <t>4 — Sources</t>
        </is>
      </c>
      <c r="C18" t="n">
        <v>31</v>
      </c>
      <c r="D18" t="inlineStr">
        <is>
          <t>Sources — List, Selection &amp; Footer</t>
        </is>
      </c>
      <c r="E18" t="inlineStr">
        <is>
          <t>P1</t>
        </is>
      </c>
      <c r="F18" t="inlineStr">
        <is>
          <t>Select a **strategy** parent — toggle child checkboxes.</t>
        </is>
      </c>
      <c r="G18" t="inlineStr">
        <is>
          <t>Partial child selection supported.</t>
        </is>
      </c>
      <c r="H18" t="inlineStr">
        <is>
          <t>— Not tested</t>
        </is>
      </c>
      <c r="I18" t="inlineStr">
        <is>
          <t>— Not tested</t>
        </is>
      </c>
      <c r="J18" t="inlineStr">
        <is>
          <t>— Not tested</t>
        </is>
      </c>
    </row>
    <row r="19">
      <c r="A19" t="n">
        <v>274</v>
      </c>
      <c r="B19" t="inlineStr">
        <is>
          <t>4 — Sources</t>
        </is>
      </c>
      <c r="C19" t="n">
        <v>31</v>
      </c>
      <c r="D19" t="inlineStr">
        <is>
          <t>Sources — List, Selection &amp; Footer</t>
        </is>
      </c>
      <c r="E19" t="inlineStr">
        <is>
          <t>P0</t>
        </is>
      </c>
      <c r="F19" t="inlineStr">
        <is>
          <t>Footer shows: selected name, type badge, trade count.</t>
        </is>
      </c>
      <c r="G19" t="inlineStr">
        <is>
          <t>Footer updates on selection.</t>
        </is>
      </c>
      <c r="H19" t="inlineStr">
        <is>
          <t>— Not tested</t>
        </is>
      </c>
      <c r="I19" t="inlineStr">
        <is>
          <t>— Not tested</t>
        </is>
      </c>
      <c r="J19" t="inlineStr">
        <is>
          <t>— Not tested</t>
        </is>
      </c>
    </row>
    <row r="20">
      <c r="A20" t="n">
        <v>275</v>
      </c>
      <c r="B20" t="inlineStr">
        <is>
          <t>4 — Sources</t>
        </is>
      </c>
      <c r="C20" t="n">
        <v>31</v>
      </c>
      <c r="D20" t="inlineStr">
        <is>
          <t>Sources — List, Selection &amp; Footer</t>
        </is>
      </c>
      <c r="E20" t="inlineStr">
        <is>
          <t>P0</t>
        </is>
      </c>
      <c r="F20" t="inlineStr">
        <is>
          <t>Click **Cancel**.</t>
        </is>
      </c>
      <c r="G20" t="inlineStr">
        <is>
          <t>Overlay closes; previous source unchanged.</t>
        </is>
      </c>
      <c r="H20" t="inlineStr">
        <is>
          <t>— Not tested</t>
        </is>
      </c>
      <c r="I20" t="inlineStr">
        <is>
          <t>— Not tested</t>
        </is>
      </c>
      <c r="J20" t="inlineStr">
        <is>
          <t>— Not tested</t>
        </is>
      </c>
    </row>
    <row r="21">
      <c r="A21" t="n">
        <v>276</v>
      </c>
      <c r="B21" t="inlineStr">
        <is>
          <t>4 — Sources</t>
        </is>
      </c>
      <c r="C21" t="n">
        <v>31</v>
      </c>
      <c r="D21" t="inlineStr">
        <is>
          <t>Sources — List, Selection &amp; Footer</t>
        </is>
      </c>
      <c r="E21" t="inlineStr">
        <is>
          <t>P0</t>
        </is>
      </c>
      <c r="F21" t="inlineStr">
        <is>
          <t>Select different source → click **Go**.</t>
        </is>
      </c>
      <c r="G21" t="inlineStr">
        <is>
          <t>Overlay closes; dashboard/trades reload with new source.</t>
        </is>
      </c>
      <c r="H21" t="inlineStr">
        <is>
          <t>— Not tested</t>
        </is>
      </c>
      <c r="I21" t="inlineStr">
        <is>
          <t>— Not tested</t>
        </is>
      </c>
      <c r="J21" t="inlineStr">
        <is>
          <t>— Not tested</t>
        </is>
      </c>
    </row>
    <row r="22">
      <c r="A22" t="n">
        <v>277</v>
      </c>
      <c r="B22" t="inlineStr">
        <is>
          <t>4 — Sources</t>
        </is>
      </c>
      <c r="C22" t="n">
        <v>32</v>
      </c>
      <c r="D22" t="inlineStr">
        <is>
          <t>Sources — Go Behavior by Type</t>
        </is>
      </c>
      <c r="E22" t="inlineStr">
        <is>
          <t>P0</t>
        </is>
      </c>
      <c r="F22" t="inlineStr">
        <is>
          <t>Go with **backtest session** selected.</t>
        </is>
      </c>
      <c r="G22" t="inlineStr">
        <is>
          <t>Dashboard loads session metrics; URL may show sessionId.</t>
        </is>
      </c>
      <c r="H22" t="inlineStr">
        <is>
          <t>— Not tested</t>
        </is>
      </c>
      <c r="I22" t="inlineStr">
        <is>
          <t>— Not tested</t>
        </is>
      </c>
      <c r="J22" t="inlineStr">
        <is>
          <t>— Not tested</t>
        </is>
      </c>
    </row>
    <row r="23">
      <c r="A23" t="n">
        <v>278</v>
      </c>
      <c r="B23" t="inlineStr">
        <is>
          <t>4 — Sources</t>
        </is>
      </c>
      <c r="C23" t="n">
        <v>32</v>
      </c>
      <c r="D23" t="inlineStr">
        <is>
          <t>Sources — Go Behavior by Type</t>
        </is>
      </c>
      <c r="E23" t="inlineStr">
        <is>
          <t>P1</t>
        </is>
      </c>
      <c r="F23" t="inlineStr">
        <is>
          <t>Go with **strategy** (all children) selected.</t>
        </is>
      </c>
      <c r="G23" t="inlineStr">
        <is>
          <t>Aggregated metrics across linked sessions.</t>
        </is>
      </c>
      <c r="H23" t="inlineStr">
        <is>
          <t>— Not tested</t>
        </is>
      </c>
      <c r="I23" t="inlineStr">
        <is>
          <t>— Not tested</t>
        </is>
      </c>
      <c r="J23" t="inlineStr">
        <is>
          <t>— Not tested</t>
        </is>
      </c>
    </row>
    <row r="24">
      <c r="A24" t="n">
        <v>279</v>
      </c>
      <c r="B24" t="inlineStr">
        <is>
          <t>4 — Sources</t>
        </is>
      </c>
      <c r="C24" t="n">
        <v>32</v>
      </c>
      <c r="D24" t="inlineStr">
        <is>
          <t>Sources — Go Behavior by Type</t>
        </is>
      </c>
      <c r="E24" t="inlineStr">
        <is>
          <t>P1</t>
        </is>
      </c>
      <c r="F24" t="inlineStr">
        <is>
          <t>Go with **strategy** partial children selected.</t>
        </is>
      </c>
      <c r="G24" t="inlineStr">
        <is>
          <t>Metrics scope to selected children only; “N/M sources” label.</t>
        </is>
      </c>
      <c r="H24" t="inlineStr">
        <is>
          <t>— Not tested</t>
        </is>
      </c>
      <c r="I24" t="inlineStr">
        <is>
          <t>— Not tested</t>
        </is>
      </c>
      <c r="J24" t="inlineStr">
        <is>
          <t>— Not tested</t>
        </is>
      </c>
    </row>
    <row r="25">
      <c r="A25" t="n">
        <v>280</v>
      </c>
      <c r="B25" t="inlineStr">
        <is>
          <t>4 — Sources</t>
        </is>
      </c>
      <c r="C25" t="n">
        <v>32</v>
      </c>
      <c r="D25" t="inlineStr">
        <is>
          <t>Sources — Go Behavior by Type</t>
        </is>
      </c>
      <c r="E25" t="inlineStr">
        <is>
          <t>P0</t>
        </is>
      </c>
      <c r="F25" t="inlineStr">
        <is>
          <t>Go with **journal account** selected.</t>
        </is>
      </c>
      <c r="G25" t="inlineStr">
        <is>
          <t>Journal trades feed dashboard.</t>
        </is>
      </c>
      <c r="H25" t="inlineStr">
        <is>
          <t>— Not tested</t>
        </is>
      </c>
      <c r="I25" t="inlineStr">
        <is>
          <t>— Not tested</t>
        </is>
      </c>
      <c r="J25" t="inlineStr">
        <is>
          <t>— Not tested</t>
        </is>
      </c>
    </row>
    <row r="26">
      <c r="A26" t="n">
        <v>281</v>
      </c>
      <c r="B26" t="inlineStr">
        <is>
          <t>4 — Sources</t>
        </is>
      </c>
      <c r="C26" t="n">
        <v>32</v>
      </c>
      <c r="D26" t="inlineStr">
        <is>
          <t>Sources — Go Behavior by Type</t>
        </is>
      </c>
      <c r="E26" t="inlineStr">
        <is>
          <t>P2</t>
        </is>
      </c>
      <c r="F26" t="inlineStr">
        <is>
          <t>Go with **journal entry** selected.</t>
        </is>
      </c>
      <c r="G26" t="inlineStr">
        <is>
          <t>Single trade scope on dashboard.</t>
        </is>
      </c>
      <c r="H26" t="inlineStr">
        <is>
          <t>— Not tested</t>
        </is>
      </c>
      <c r="I26" t="inlineStr">
        <is>
          <t>— Not tested</t>
        </is>
      </c>
      <c r="J26" t="inlineStr">
        <is>
          <t>— Not tested</t>
        </is>
      </c>
    </row>
    <row r="27">
      <c r="A27" t="n">
        <v>282</v>
      </c>
      <c r="B27" t="inlineStr">
        <is>
          <t>4 — Sources</t>
        </is>
      </c>
      <c r="C27" t="n">
        <v>33</v>
      </c>
      <c r="D27" t="inlineStr">
        <is>
          <t>Sources — Header Actions</t>
        </is>
      </c>
      <c r="E27" t="inlineStr">
        <is>
          <t>P1</t>
        </is>
      </c>
      <c r="F27" t="inlineStr">
        <is>
          <t>In library header click **Create Session** (backtest context).</t>
        </is>
      </c>
      <c r="G27" t="inlineStr">
        <is>
          <t>New session flow opens.</t>
        </is>
      </c>
      <c r="H27" t="inlineStr">
        <is>
          <t>— Not tested</t>
        </is>
      </c>
      <c r="I27" t="inlineStr">
        <is>
          <t>— Not tested</t>
        </is>
      </c>
      <c r="J27" t="inlineStr">
        <is>
          <t>— Not tested</t>
        </is>
      </c>
    </row>
    <row r="28">
      <c r="A28" t="n">
        <v>283</v>
      </c>
      <c r="B28" t="inlineStr">
        <is>
          <t>4 — Sources</t>
        </is>
      </c>
      <c r="C28" t="n">
        <v>33</v>
      </c>
      <c r="D28" t="inlineStr">
        <is>
          <t>Sources — Header Actions</t>
        </is>
      </c>
      <c r="E28" t="inlineStr">
        <is>
          <t>P1</t>
        </is>
      </c>
      <c r="F28" t="inlineStr">
        <is>
          <t>In journal context click **Create Journal**.</t>
        </is>
      </c>
      <c r="G28" t="inlineStr">
        <is>
          <t>New journal account modal opens.</t>
        </is>
      </c>
      <c r="H28" t="inlineStr">
        <is>
          <t>— Not tested</t>
        </is>
      </c>
      <c r="I28" t="inlineStr">
        <is>
          <t>— Not tested</t>
        </is>
      </c>
      <c r="J28" t="inlineStr">
        <is>
          <t>— Not tested</t>
        </is>
      </c>
    </row>
    <row r="29">
      <c r="A29" t="n">
        <v>284</v>
      </c>
      <c r="B29" t="inlineStr">
        <is>
          <t>4 — Sources</t>
        </is>
      </c>
      <c r="C29" t="n">
        <v>33</v>
      </c>
      <c r="D29" t="inlineStr">
        <is>
          <t>Sources — Header Actions</t>
        </is>
      </c>
      <c r="E29" t="inlineStr">
        <is>
          <t>P1</t>
        </is>
      </c>
      <c r="F29" t="inlineStr">
        <is>
          <t>Click **Add Trade** (journal context).</t>
        </is>
      </c>
      <c r="G29" t="inlineStr">
        <is>
          <t>Add trade flow opens for journal.</t>
        </is>
      </c>
      <c r="H29" t="inlineStr">
        <is>
          <t>— Not tested</t>
        </is>
      </c>
      <c r="I29" t="inlineStr">
        <is>
          <t>— Not tested</t>
        </is>
      </c>
      <c r="J29" t="inlineStr">
        <is>
          <t>— Not tested</t>
        </is>
      </c>
    </row>
    <row r="30">
      <c r="A30" t="n">
        <v>285</v>
      </c>
      <c r="B30" t="inlineStr">
        <is>
          <t>4 — Sources</t>
        </is>
      </c>
      <c r="C30" t="n">
        <v>34</v>
      </c>
      <c r="D30" t="inlineStr">
        <is>
          <t>Applied Source Details (Dashboard Banner)</t>
        </is>
      </c>
      <c r="E30" t="inlineStr">
        <is>
          <t>P0</t>
        </is>
      </c>
      <c r="F30" t="inlineStr">
        <is>
          <t>After applying a source, read **banner/chip**: name + type badge.</t>
        </is>
      </c>
      <c r="G30" t="inlineStr">
        <is>
          <t>Backtest=blue, Journal=green, Strategy=blue.</t>
        </is>
      </c>
      <c r="H30" t="inlineStr">
        <is>
          <t>— Not tested</t>
        </is>
      </c>
      <c r="I30" t="inlineStr">
        <is>
          <t>— Not tested</t>
        </is>
      </c>
      <c r="J30" t="inlineStr">
        <is>
          <t>— Not tested</t>
        </is>
      </c>
    </row>
    <row r="31">
      <c r="A31" t="n">
        <v>286</v>
      </c>
      <c r="B31" t="inlineStr">
        <is>
          <t>4 — Sources</t>
        </is>
      </c>
      <c r="C31" t="n">
        <v>34</v>
      </c>
      <c r="D31" t="inlineStr">
        <is>
          <t>Applied Source Details (Dashboard Banner)</t>
        </is>
      </c>
      <c r="E31" t="inlineStr">
        <is>
          <t>P1</t>
        </is>
      </c>
      <c r="F31" t="inlineStr">
        <is>
          <t>Verify **trade count in scope** on banner.</t>
        </is>
      </c>
      <c r="G31" t="inlineStr">
        <is>
          <t>Count matches filtered trades.</t>
        </is>
      </c>
      <c r="H31" t="inlineStr">
        <is>
          <t>— Not tested</t>
        </is>
      </c>
      <c r="I31" t="inlineStr">
        <is>
          <t>— Not tested</t>
        </is>
      </c>
      <c r="J31" t="inlineStr">
        <is>
          <t>— Not tested</t>
        </is>
      </c>
    </row>
    <row r="32">
      <c r="A32" t="n">
        <v>287</v>
      </c>
      <c r="B32" t="inlineStr">
        <is>
          <t>4 — Sources</t>
        </is>
      </c>
      <c r="C32" t="n">
        <v>34</v>
      </c>
      <c r="D32" t="inlineStr">
        <is>
          <t>Applied Source Details (Dashboard Banner)</t>
        </is>
      </c>
      <c r="E32" t="inlineStr">
        <is>
          <t>P1</t>
        </is>
      </c>
      <c r="F32" t="inlineStr">
        <is>
          <t>Apply strategy with partial children — read “N/M sources” label.</t>
        </is>
      </c>
      <c r="G32" t="inlineStr">
        <is>
          <t>Partial selection label correct.</t>
        </is>
      </c>
      <c r="H32" t="inlineStr">
        <is>
          <t>— Not tested</t>
        </is>
      </c>
      <c r="I32" t="inlineStr">
        <is>
          <t>— Not tested</t>
        </is>
      </c>
      <c r="J32" t="inlineStr">
        <is>
          <t>— Not tested</t>
        </is>
      </c>
    </row>
    <row r="33">
      <c r="A33" t="n">
        <v>288</v>
      </c>
      <c r="B33" t="inlineStr">
        <is>
          <t>4 — Sources</t>
        </is>
      </c>
      <c r="C33" t="n">
        <v>34</v>
      </c>
      <c r="D33" t="inlineStr">
        <is>
          <t>Applied Source Details (Dashboard Banner)</t>
        </is>
      </c>
      <c r="E33" t="inlineStr">
        <is>
          <t>P2</t>
        </is>
      </c>
      <c r="F33" t="inlineStr">
        <is>
          <t>Empty journal: verify CTAs **Create Journal**, **Add Trade**, **Import**.</t>
        </is>
      </c>
      <c r="G33" t="inlineStr">
        <is>
          <t>CTAs visible and work.</t>
        </is>
      </c>
      <c r="H33" t="inlineStr">
        <is>
          <t>— Not tested</t>
        </is>
      </c>
      <c r="I33" t="inlineStr">
        <is>
          <t>— Not tested</t>
        </is>
      </c>
      <c r="J33" t="inlineStr">
        <is>
          <t>— Not tested</t>
        </is>
      </c>
    </row>
    <row r="34">
      <c r="A34" t="n">
        <v>289</v>
      </c>
      <c r="B34" t="inlineStr">
        <is>
          <t>4 — Sources</t>
        </is>
      </c>
      <c r="C34" t="n">
        <v>35</v>
      </c>
      <c r="D34" t="inlineStr">
        <is>
          <t>Compare Sources Mode</t>
        </is>
      </c>
      <c r="E34" t="inlineStr">
        <is>
          <t>P1</t>
        </is>
      </c>
      <c r="F34" t="inlineStr">
        <is>
          <t>Enable **Compare mode** from dashboard.</t>
        </is>
      </c>
      <c r="G34" t="inlineStr">
        <is>
          <t>Compare picker opens.</t>
        </is>
      </c>
      <c r="H34" t="inlineStr">
        <is>
          <t>— Not tested</t>
        </is>
      </c>
      <c r="I34" t="inlineStr">
        <is>
          <t>— Not tested</t>
        </is>
      </c>
      <c r="J34" t="inlineStr">
        <is>
          <t>— Not tested</t>
        </is>
      </c>
    </row>
    <row r="35">
      <c r="A35" t="n">
        <v>290</v>
      </c>
      <c r="B35" t="inlineStr">
        <is>
          <t>4 — Sources</t>
        </is>
      </c>
      <c r="C35" t="n">
        <v>35</v>
      </c>
      <c r="D35" t="inlineStr">
        <is>
          <t>Compare Sources Mode</t>
        </is>
      </c>
      <c r="E35" t="inlineStr">
        <is>
          <t>P1</t>
        </is>
      </c>
      <c r="F35" t="inlineStr">
        <is>
          <t>Tabs: **Backtests / Strategies / Journals**.</t>
        </is>
      </c>
      <c r="G35" t="inlineStr">
        <is>
          <t>Each tab lists correct source types.</t>
        </is>
      </c>
      <c r="H35" t="inlineStr">
        <is>
          <t>— Not tested</t>
        </is>
      </c>
      <c r="I35" t="inlineStr">
        <is>
          <t>— Not tested</t>
        </is>
      </c>
      <c r="J35" t="inlineStr">
        <is>
          <t>— Not tested</t>
        </is>
      </c>
    </row>
    <row r="36">
      <c r="A36" t="n">
        <v>291</v>
      </c>
      <c r="B36" t="inlineStr">
        <is>
          <t>4 — Sources</t>
        </is>
      </c>
      <c r="C36" t="n">
        <v>35</v>
      </c>
      <c r="D36" t="inlineStr">
        <is>
          <t>Compare Sources Mode</t>
        </is>
      </c>
      <c r="E36" t="inlineStr">
        <is>
          <t>P1</t>
        </is>
      </c>
      <c r="F36" t="inlineStr">
        <is>
          <t>Multi-select two sessions for compare.</t>
        </is>
      </c>
      <c r="G36" t="inlineStr">
        <is>
          <t>Both sources active in compare chip.</t>
        </is>
      </c>
      <c r="H36" t="inlineStr">
        <is>
          <t>— Not tested</t>
        </is>
      </c>
      <c r="I36" t="inlineStr">
        <is>
          <t>— Not tested</t>
        </is>
      </c>
      <c r="J36" t="inlineStr">
        <is>
          <t>— Not tested</t>
        </is>
      </c>
    </row>
    <row r="37">
      <c r="A37" t="n">
        <v>292</v>
      </c>
      <c r="B37" t="inlineStr">
        <is>
          <t>4 — Sources</t>
        </is>
      </c>
      <c r="C37" t="n">
        <v>35</v>
      </c>
      <c r="D37" t="inlineStr">
        <is>
          <t>Compare Sources Mode</t>
        </is>
      </c>
      <c r="E37" t="inlineStr">
        <is>
          <t>P2</t>
        </is>
      </c>
      <c r="F37" t="inlineStr">
        <is>
          <t>Toggle strategy child sources in compare.</t>
        </is>
      </c>
      <c r="G37" t="inlineStr">
        <is>
          <t>Sub-source selection works.</t>
        </is>
      </c>
      <c r="H37" t="inlineStr">
        <is>
          <t>— Not tested</t>
        </is>
      </c>
      <c r="I37" t="inlineStr">
        <is>
          <t>— Not tested</t>
        </is>
      </c>
      <c r="J37" t="inlineStr">
        <is>
          <t>— Not tested</t>
        </is>
      </c>
    </row>
    <row r="38">
      <c r="A38" t="n">
        <v>293</v>
      </c>
      <c r="B38" t="inlineStr">
        <is>
          <t>4 — Sources</t>
        </is>
      </c>
      <c r="C38" t="n">
        <v>35</v>
      </c>
      <c r="D38" t="inlineStr">
        <is>
          <t>Compare Sources Mode</t>
        </is>
      </c>
      <c r="E38" t="inlineStr">
        <is>
          <t>P2</t>
        </is>
      </c>
      <c r="F38" t="inlineStr">
        <is>
          <t>Open **Compare filters** window.</t>
        </is>
      </c>
      <c r="G38" t="inlineStr">
        <is>
          <t>Separate filter scope for compare view.</t>
        </is>
      </c>
      <c r="H38" t="inlineStr">
        <is>
          <t>— Not tested</t>
        </is>
      </c>
      <c r="I38" t="inlineStr">
        <is>
          <t>— Not tested</t>
        </is>
      </c>
      <c r="J38" t="inlineStr">
        <is>
          <t>— Not tested</t>
        </is>
      </c>
    </row>
    <row r="39">
      <c r="A39" t="n">
        <v>294</v>
      </c>
      <c r="B39" t="inlineStr">
        <is>
          <t>4 — Sources</t>
        </is>
      </c>
      <c r="C39" t="n">
        <v>35</v>
      </c>
      <c r="D39" t="inlineStr">
        <is>
          <t>Compare Sources Mode</t>
        </is>
      </c>
      <c r="E39" t="inlineStr">
        <is>
          <t>P1</t>
        </is>
      </c>
      <c r="F39" t="inlineStr">
        <is>
          <t>Click **Clear compare** (trash icon).</t>
        </is>
      </c>
      <c r="G39" t="inlineStr">
        <is>
          <t>Compare mode exits; single source restored.</t>
        </is>
      </c>
      <c r="H39" t="inlineStr">
        <is>
          <t>— Not tested</t>
        </is>
      </c>
      <c r="I39" t="inlineStr">
        <is>
          <t>— Not tested</t>
        </is>
      </c>
      <c r="J39" t="inlineStr">
        <is>
          <t>— Not tested</t>
        </is>
      </c>
    </row>
    <row r="40">
      <c r="A40" t="n">
        <v>295</v>
      </c>
      <c r="B40" t="inlineStr">
        <is>
          <t>4 — Sources</t>
        </is>
      </c>
      <c r="C40" t="n">
        <v>35</v>
      </c>
      <c r="D40" t="inlineStr">
        <is>
          <t>Compare Sources Mode</t>
        </is>
      </c>
      <c r="E40" t="inlineStr">
        <is>
          <t>P1</t>
        </is>
      </c>
      <c r="F40" t="inlineStr">
        <is>
          <t>Verify dashboard metrics update for compare view.</t>
        </is>
      </c>
      <c r="G40" t="inlineStr">
        <is>
          <t>Side-by-side or combined metrics display.</t>
        </is>
      </c>
      <c r="H40" t="inlineStr">
        <is>
          <t>— Not tested</t>
        </is>
      </c>
      <c r="I40" t="inlineStr">
        <is>
          <t>— Not tested</t>
        </is>
      </c>
      <c r="J40" t="inlineStr">
        <is>
          <t>— Not tested</t>
        </is>
      </c>
    </row>
  </sheetData>
  <dataValidations count="2">
    <dataValidation sqref="H2:I40" showDropDown="0" showInputMessage="0" showErrorMessage="0" allowBlank="1" type="list">
      <formula1>"☑ Pass,☐ Fail,⚠ Partial,— Not tested"</formula1>
    </dataValidation>
    <dataValidation sqref="J2:J40" showDropDown="0" showInputMessage="0" showErrorMessage="0" allowBlank="1" type="list">
      <formula1>"☑ Yes,☐ No,— Not tested"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2026-06-22T07:48:39Z</dcterms:created>
  <dcterms:modified xsi:type="dcterms:W3CDTF">2026-06-22T07:48:39Z</dcterms:modified>
</cp:coreProperties>
</file>